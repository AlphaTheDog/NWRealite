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ortfolio\NWRealite\NW\"/>
    </mc:Choice>
  </mc:AlternateContent>
  <xr:revisionPtr revIDLastSave="0" documentId="13_ncr:1_{7DF0C60B-A2B1-4C14-8919-EB4FD368B156}" xr6:coauthVersionLast="47" xr6:coauthVersionMax="47" xr10:uidLastSave="{00000000-0000-0000-0000-000000000000}"/>
  <bookViews>
    <workbookView xWindow="-110" yWindow="-110" windowWidth="19420" windowHeight="11020" xr2:uid="{E7D78282-7160-4417-8FF1-66F0E3838573}"/>
  </bookViews>
  <sheets>
    <sheet name="data" sheetId="1" r:id="rId1"/>
  </sheets>
  <calcPr calcId="191029"/>
  <pivotCaches>
    <pivotCache cacheId="299" r:id="rId2"/>
    <pivotCache cacheId="300" r:id="rId3"/>
    <pivotCache cacheId="301" r:id="rId4"/>
    <pivotCache cacheId="302" r:id="rId5"/>
    <pivotCache cacheId="30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nits_5294db71-328c-4462-87e7-b6fe324f73fb" name="units" connection="Query - units"/>
          <x15:modelTable id="tenants_28402a8f-cb35-4162-a22e-17dd92302960" name="tenants" connection="Query - tenants"/>
          <x15:modelTable id="properties_2ea556c6-d83b-405b-84ce-f33ba5471a15" name="properties" connection="Query - properties"/>
          <x15:modelTable id="locations_af3fb28d-417c-4f61-9c0b-e1f58b3742e5" name="locations" connection="Query - locations"/>
          <x15:modelTable id="leases_515fba79-233d-4128-bbaa-fc362040293b" name="leases" connection="Query - leases"/>
        </x15:modelTables>
        <x15:modelRelationships>
          <x15:modelRelationship fromTable="units" fromColumn="property_id" toTable="properties" toColumn="id"/>
          <x15:modelRelationship fromTable="properties" fromColumn="location_id" toTable="locations" toColumn="id"/>
          <x15:modelRelationship fromTable="leases" fromColumn="unit_id" toTable="units" toColumn="id"/>
          <x15:modelRelationship fromTable="leases" fromColumn="tenant_id" toTable="tenants" toColumn="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leases" columnName="start_date" columnId="start_date">
                <x16:calculatedTimeColumn columnName="start_date (Year)" columnId="start_date (Year)" contentType="years" isSelected="1"/>
                <x16:calculatedTimeColumn columnName="start_date (Quarter)" columnId="start_date (Quarter)" contentType="quarters" isSelected="1"/>
                <x16:calculatedTimeColumn columnName="start_date (Month Index)" columnId="start_date (Month Index)" contentType="monthsindex" isSelected="1"/>
                <x16:calculatedTimeColumn columnName="start_date (Month)" columnId="start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G16" i="1"/>
  <c r="H16" i="1"/>
  <c r="G17" i="1"/>
  <c r="H17" i="1"/>
  <c r="G18" i="1"/>
  <c r="H18" i="1"/>
  <c r="G19" i="1"/>
  <c r="H19" i="1"/>
  <c r="G20" i="1"/>
  <c r="H20" i="1"/>
  <c r="F16" i="1"/>
  <c r="F17" i="1"/>
  <c r="F18" i="1"/>
  <c r="F19" i="1"/>
  <c r="F20" i="1"/>
  <c r="F15" i="1"/>
  <c r="I19" i="1" l="1"/>
  <c r="I15" i="1"/>
  <c r="I20" i="1"/>
  <c r="I16" i="1"/>
  <c r="I18" i="1"/>
  <c r="I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E4F1C-6B77-4463-9475-2E9922D0430B}" name="Query - leases" description="Connection to the 'leases' query in the workbook." type="100" refreshedVersion="7" minRefreshableVersion="5">
    <extLst>
      <ext xmlns:x15="http://schemas.microsoft.com/office/spreadsheetml/2010/11/main" uri="{DE250136-89BD-433C-8126-D09CA5730AF9}">
        <x15:connection id="bf7c36ac-b4de-4dbc-852e-efb2a6968b03"/>
      </ext>
    </extLst>
  </connection>
  <connection id="2" xr16:uid="{A67F7811-5E99-4673-A4FA-BBFC1BB312BE}" name="Query - locations" description="Connection to the 'locations' query in the workbook." type="100" refreshedVersion="7" minRefreshableVersion="5">
    <extLst>
      <ext xmlns:x15="http://schemas.microsoft.com/office/spreadsheetml/2010/11/main" uri="{DE250136-89BD-433C-8126-D09CA5730AF9}">
        <x15:connection id="847be91e-feb7-4c3f-bb78-780880fa4c58">
          <x15:oledbPr connection="Provider=Microsoft.Mashup.OleDb.1;Data Source=$Workbook$;Location=locations;Extended Properties=&quot;&quot;">
            <x15:dbTables>
              <x15:dbTable name="locations"/>
            </x15:dbTables>
          </x15:oledbPr>
        </x15:connection>
      </ext>
    </extLst>
  </connection>
  <connection id="3" xr16:uid="{7127A2E4-C1AC-4B9D-89AF-F1C498A23B15}" name="Query - properties" description="Connection to the 'properties' query in the workbook." type="100" refreshedVersion="7" minRefreshableVersion="5">
    <extLst>
      <ext xmlns:x15="http://schemas.microsoft.com/office/spreadsheetml/2010/11/main" uri="{DE250136-89BD-433C-8126-D09CA5730AF9}">
        <x15:connection id="a1ac41d6-f4a6-4052-ac3f-b2a82eaa0792">
          <x15:oledbPr connection="Provider=Microsoft.Mashup.OleDb.1;Data Source=$Workbook$;Location=properties;Extended Properties=&quot;&quot;">
            <x15:dbTables>
              <x15:dbTable name="properties"/>
            </x15:dbTables>
          </x15:oledbPr>
        </x15:connection>
      </ext>
    </extLst>
  </connection>
  <connection id="4" xr16:uid="{1ADD3EF1-31FB-482C-BB1B-99D43488C041}" name="Query - tenants" description="Connection to the 'tenants' query in the workbook." type="100" refreshedVersion="7" minRefreshableVersion="5">
    <extLst>
      <ext xmlns:x15="http://schemas.microsoft.com/office/spreadsheetml/2010/11/main" uri="{DE250136-89BD-433C-8126-D09CA5730AF9}">
        <x15:connection id="e440a083-e88d-4c12-8b90-13a6e53224c4">
          <x15:oledbPr connection="Provider=Microsoft.Mashup.OleDb.1;Data Source=$Workbook$;Location=tenants;Extended Properties=&quot;&quot;">
            <x15:dbTables>
              <x15:dbTable name="tenants"/>
            </x15:dbTables>
          </x15:oledbPr>
        </x15:connection>
      </ext>
    </extLst>
  </connection>
  <connection id="5" xr16:uid="{AD71919B-D55E-4BC4-B596-90715A67B8E5}" name="Query - units" description="Connection to the 'units' query in the workbook." type="100" refreshedVersion="7" minRefreshableVersion="5">
    <extLst>
      <ext xmlns:x15="http://schemas.microsoft.com/office/spreadsheetml/2010/11/main" uri="{DE250136-89BD-433C-8126-D09CA5730AF9}">
        <x15:connection id="1c448708-60f4-4797-912a-d284b8cbbc4f">
          <x15:oledbPr connection="Provider=Microsoft.Mashup.OleDb.1;Data Source=$Workbook$;Location=units;Extended Properties=&quot;&quot;">
            <x15:dbTables>
              <x15:dbTable name="units"/>
            </x15:dbTables>
          </x15:oledbPr>
        </x15:connection>
      </ext>
    </extLst>
  </connection>
  <connection id="6" xr16:uid="{D7B8E318-DBEB-494D-85FC-F367A7C2896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<sst xmlns="http://schemas.openxmlformats.org/spreadsheetml/2006/main" count="44" uniqueCount="24">
  <si>
    <t>total_monthly_rent</t>
  </si>
  <si>
    <t>tatal_monthly_arrears</t>
  </si>
  <si>
    <t>Row Labels</t>
  </si>
  <si>
    <t>Kilimani</t>
  </si>
  <si>
    <t>Nairobi Cbd</t>
  </si>
  <si>
    <t>Westlands</t>
  </si>
  <si>
    <t>Grand Total</t>
  </si>
  <si>
    <t>Total Rent Billed vs Total Arrears by Location.</t>
  </si>
  <si>
    <t>Occupancy Rate per Property.</t>
  </si>
  <si>
    <t>Delta Corner</t>
  </si>
  <si>
    <t>Kimathi House</t>
  </si>
  <si>
    <t>Nssf Towers</t>
  </si>
  <si>
    <t>Riverside Court</t>
  </si>
  <si>
    <t>The Junction Residences</t>
  </si>
  <si>
    <t>No of Units</t>
  </si>
  <si>
    <t>Occupied Units</t>
  </si>
  <si>
    <t>Location</t>
  </si>
  <si>
    <t>%occupancy</t>
  </si>
  <si>
    <t>no_of_valid_leases</t>
  </si>
  <si>
    <t>Top 3 Properties by Arrears.</t>
  </si>
  <si>
    <t>Average Monthly Rent per Property and per Location</t>
  </si>
  <si>
    <t>average_monthly rent</t>
  </si>
  <si>
    <t>Property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</si>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</sst>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9" fontId="0" fillId="0" borderId="0" xfId="1" applyFont="1"/>
    <xf numFmtId="1" fontId="0" fillId="0" borderId="0" xfId="0" applyNumberFormat="1"/>
    <xf numFmtId="164" fontId="0" fillId="0" borderId="0" xfId="0" applyNumberFormat="1"/>
    <xf numFmtId="0" fontId="2" fillId="3" borderId="0" xfId="0" applyFont="1" applyFill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9" Type="http://schemas.openxmlformats.org/officeDocument/2006/relationships/customXml" Target="../customXml/item27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41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40" Type="http://schemas.openxmlformats.org/officeDocument/2006/relationships/customXml" Target="../customXml/item28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38" Type="http://schemas.openxmlformats.org/officeDocument/2006/relationships/customXml" Target="../customXml/item2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48.528845949077" backgroundQuery="1" createdVersion="7" refreshedVersion="7" minRefreshableVersion="3" recordCount="0" supportSubquery="1" supportAdvancedDrill="1" xr:uid="{1E9A2AF1-354D-474C-819B-2C2C39AE4273}">
  <cacheSource type="external" connectionId="6"/>
  <cacheFields count="2">
    <cacheField name="[locations].[name].[name]" caption="name" numFmtId="0" hierarchy="15" level="1">
      <sharedItems count="3">
        <s v="Kilimani"/>
        <s v="Nairobi Cbd"/>
        <s v="Westlands"/>
      </sharedItems>
    </cacheField>
    <cacheField name="[Measures].[average_monthly rent]" caption="average_monthly rent" numFmtId="0" hierarchy="37" level="32767"/>
  </cacheFields>
  <cacheHierarchies count="44">
    <cacheHierarchy uniqueName="[leases].[id]" caption="id" attribute="1" defaultMemberUniqueName="[leases].[id].[All]" allUniqueName="[leases].[id].[All]" dimensionUniqueName="[leases]" displayFolder="" count="0" memberValueDatatype="20" unbalanced="0"/>
    <cacheHierarchy uniqueName="[leases].[unit_id]" caption="unit_id" attribute="1" defaultMemberUniqueName="[leases].[unit_id].[All]" allUniqueName="[leases].[unit_id].[All]" dimensionUniqueName="[leases]" displayFolder="" count="0" memberValueDatatype="20" unbalanced="0"/>
    <cacheHierarchy uniqueName="[leases].[tenant_id]" caption="tenant_id" attribute="1" defaultMemberUniqueName="[leases].[tenant_id].[All]" allUniqueName="[leases].[tenant_id].[All]" dimensionUniqueName="[leases]" displayFolder="" count="0" memberValueDatatype="20" unbalanced="0"/>
    <cacheHierarchy uniqueName="[leases].[rent_per_month]" caption="rent_per_month" attribute="1" defaultMemberUniqueName="[leases].[rent_per_month].[All]" allUniqueName="[leases].[rent_per_month].[All]" dimensionUniqueName="[leases]" displayFolder="" count="0" memberValueDatatype="20" unbalanced="0"/>
    <cacheHierarchy uniqueName="[leases].[annual_rent]" caption="annual_rent" attribute="1" defaultMemberUniqueName="[leases].[annual_rent].[All]" allUniqueName="[leases].[annual_rent].[All]" dimensionUniqueName="[leases]" displayFolder="" count="0" memberValueDatatype="20" unbalanced="0"/>
    <cacheHierarchy uniqueName="[leases].[arrears]" caption="arrears" attribute="1" defaultMemberUniqueName="[leases].[arrears].[All]" allUniqueName="[leases].[arrears].[All]" dimensionUniqueName="[leases]" displayFolder="" count="0" memberValueDatatype="20" unbalanced="0"/>
    <cacheHierarchy uniqueName="[leases].[start_date]" caption="start_date" attribute="1" time="1" defaultMemberUniqueName="[leases].[start_date].[All]" allUniqueName="[leases].[start_date].[All]" dimensionUniqueName="[leases]" displayFolder="" count="0" memberValueDatatype="7" unbalanced="0"/>
    <cacheHierarchy uniqueName="[leases].[end_date]" caption="end_date" attribute="1" defaultMemberUniqueName="[leases].[end_date].[All]" allUniqueName="[leases].[end_date].[All]" dimensionUniqueName="[leases]" displayFolder="" count="0" memberValueDatatype="130" unbalanced="0"/>
    <cacheHierarchy uniqueName="[leases].[valid]" caption="valid" attribute="1" defaultMemberUniqueName="[leases].[valid].[All]" allUniqueName="[leases].[valid].[All]" dimensionUniqueName="[leases]" displayFolder="" count="0" memberValueDatatype="20" unbalanced="0"/>
    <cacheHierarchy uniqueName="[leases].[duration_in_months]" caption="duration_in_months" attribute="1" defaultMemberUniqueName="[leases].[duration_in_months].[All]" allUniqueName="[leases].[duration_in_months].[All]" dimensionUniqueName="[leases]" displayFolder="" count="0" memberValueDatatype="20" unbalanced="0"/>
    <cacheHierarchy uniqueName="[leases].[status]" caption="status" attribute="1" defaultMemberUniqueName="[leases].[status].[All]" allUniqueName="[leases].[status].[All]" dimensionUniqueName="[leases]" displayFolder="" count="0" memberValueDatatype="130" unbalanced="0"/>
    <cacheHierarchy uniqueName="[leases].[start_date (Year)]" caption="start_date (Year)" attribute="1" defaultMemberUniqueName="[leases].[start_date (Year)].[All]" allUniqueName="[leases].[start_date (Year)].[All]" dimensionUniqueName="[leases]" displayFolder="" count="0" memberValueDatatype="130" unbalanced="0"/>
    <cacheHierarchy uniqueName="[leases].[start_date (Quarter)]" caption="start_date (Quarter)" attribute="1" defaultMemberUniqueName="[leases].[start_date (Quarter)].[All]" allUniqueName="[leases].[start_date (Quarter)].[All]" dimensionUniqueName="[leases]" displayFolder="" count="0" memberValueDatatype="130" unbalanced="0"/>
    <cacheHierarchy uniqueName="[leases].[start_date (Month)]" caption="start_date (Month)" attribute="1" defaultMemberUniqueName="[leases].[start_date (Month)].[All]" allUniqueName="[leases].[start_date (Month)].[All]" dimensionUniqueName="[leases]" displayFolder="" count="0" memberValueDatatype="130" unbalanced="0"/>
    <cacheHierarchy uniqueName="[locations].[id]" caption="id" attribute="1" defaultMemberUniqueName="[locations].[id].[All]" allUniqueName="[locations].[id].[All]" dimensionUniqueName="[locations]" displayFolder="" count="0" memberValueDatatype="20" unbalanced="0"/>
    <cacheHierarchy uniqueName="[locations].[name]" caption="name" attribute="1" defaultMemberUniqueName="[locations].[name].[All]" allUniqueName="[locations].[name].[All]" dimensionUniqueName="[locations]" displayFolder="" count="2" memberValueDatatype="130" unbalanced="0">
      <fieldsUsage count="2">
        <fieldUsage x="-1"/>
        <fieldUsage x="0"/>
      </fieldsUsage>
    </cacheHierarchy>
    <cacheHierarchy uniqueName="[properties].[id]" caption="id" attribute="1" defaultMemberUniqueName="[properties].[id].[All]" allUniqueName="[properties].[id].[All]" dimensionUniqueName="[properties]" displayFolder="" count="0" memberValueDatatype="20" unbalanced="0"/>
    <cacheHierarchy uniqueName="[properties].[name]" caption="name" attribute="1" defaultMemberUniqueName="[properties].[name].[All]" allUniqueName="[properties].[name].[All]" dimensionUniqueName="[properties]" displayFolder="" count="0" memberValueDatatype="130" unbalanced="0"/>
    <cacheHierarchy uniqueName="[properties].[location_id]" caption="location_id" attribute="1" defaultMemberUniqueName="[properties].[location_id].[All]" allUniqueName="[properties].[location_id].[All]" dimensionUniqueName="[properties]" displayFolder="" count="0" memberValueDatatype="20" unbalanced="0"/>
    <cacheHierarchy uniqueName="[tenants].[id]" caption="id" attribute="1" defaultMemberUniqueName="[tenants].[id].[All]" allUniqueName="[tenants].[id].[All]" dimensionUniqueName="[tenants]" displayFolder="" count="0" memberValueDatatype="20" unbalanced="0"/>
    <cacheHierarchy uniqueName="[tenants].[name]" caption="name" attribute="1" defaultMemberUniqueName="[tenants].[name].[All]" allUniqueName="[tenants].[name].[All]" dimensionUniqueName="[tenants]" displayFolder="" count="0" memberValueDatatype="130" unbalanced="0"/>
    <cacheHierarchy uniqueName="[tenants].[email]" caption="email" attribute="1" defaultMemberUniqueName="[tenants].[email].[All]" allUniqueName="[tenants].[email].[All]" dimensionUniqueName="[tenants]" displayFolder="" count="0" memberValueDatatype="130" unbalanced="0"/>
    <cacheHierarchy uniqueName="[units].[id]" caption="id" attribute="1" defaultMemberUniqueName="[units].[id].[All]" allUniqueName="[units].[id].[All]" dimensionUniqueName="[units]" displayFolder="" count="0" memberValueDatatype="20" unbalanced="0"/>
    <cacheHierarchy uniqueName="[units].[property_id]" caption="property_id" attribute="1" defaultMemberUniqueName="[units].[property_id].[All]" allUniqueName="[units].[property_id].[All]" dimensionUniqueName="[units]" displayFolder="" count="0" memberValueDatatype="20" unbalanced="0"/>
    <cacheHierarchy uniqueName="[units].[name]" caption="name" attribute="1" defaultMemberUniqueName="[units].[name].[All]" allUniqueName="[units].[name].[All]" dimensionUniqueName="[units]" displayFolder="" count="0" memberValueDatatype="130" unbalanced="0"/>
    <cacheHierarchy uniqueName="[units].[size]" caption="size" attribute="1" defaultMemberUniqueName="[units].[size].[All]" allUniqueName="[units].[size].[All]" dimensionUniqueName="[units]" displayFolder="" count="0" memberValueDatatype="5" unbalanced="0"/>
    <cacheHierarchy uniqueName="[leases].[start_date (Month Index)]" caption="start_date (Month Index)" attribute="1" defaultMemberUniqueName="[leases].[start_date (Month Index)].[All]" allUniqueName="[leases].[start_date (Month Index)].[All]" dimensionUniqueName="[leases]" displayFolder="" count="0" memberValueDatatype="20" unbalanced="0" hidden="1"/>
    <cacheHierarchy uniqueName="[Measures].[Sum of tenant_id]" caption="Sum of tenant_id" measure="1" displayFolder="" measureGroup="leas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d]" caption="Sum of id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d 2]" caption="Sum of id 2" measure="1" displayFolder="" measureGroup="uni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]" caption="Count of id" measure="1" displayFolder="" measureGroup="uni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 2]" caption="Count of id 2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_units]" caption="total_units" measure="1" displayFolder="" measureGroup="units" count="0"/>
    <cacheHierarchy uniqueName="[Measures].[total_tenants]" caption="total_tenants" measure="1" displayFolder="" measureGroup="tenants" count="0"/>
    <cacheHierarchy uniqueName="[Measures].[total_monthly_rent]" caption="total_monthly_rent" measure="1" displayFolder="" measureGroup="leases" count="0"/>
    <cacheHierarchy uniqueName="[Measures].[tatal_monthly_arrears]" caption="tatal_monthly_arrears" measure="1" displayFolder="" measureGroup="leases" count="0"/>
    <cacheHierarchy uniqueName="[Measures].[no_of_valid_leases]" caption="no_of_valid_leases" measure="1" displayFolder="" measureGroup="leases" count="0"/>
    <cacheHierarchy uniqueName="[Measures].[average_monthly rent]" caption="average_monthly rent" measure="1" displayFolder="" measureGroup="leases" count="0" oneField="1">
      <fieldsUsage count="1">
        <fieldUsage x="1"/>
      </fieldsUsage>
    </cacheHierarchy>
    <cacheHierarchy uniqueName="[Measures].[__XL_Count units]" caption="__XL_Count units" measure="1" displayFolder="" measureGroup="units" count="0" hidden="1"/>
    <cacheHierarchy uniqueName="[Measures].[__XL_Count tenants]" caption="__XL_Count tenants" measure="1" displayFolder="" measureGroup="tenants" count="0" hidden="1"/>
    <cacheHierarchy uniqueName="[Measures].[__XL_Count properties]" caption="__XL_Count properties" measure="1" displayFolder="" measureGroup="properties" count="0" hidden="1"/>
    <cacheHierarchy uniqueName="[Measures].[__XL_Count locations]" caption="__XL_Count locations" measure="1" displayFolder="" measureGroup="locations" count="0" hidden="1"/>
    <cacheHierarchy uniqueName="[Measures].[__XL_Count leases]" caption="__XL_Count leases" measure="1" displayFolder="" measureGroup="leases" count="0" hidden="1"/>
    <cacheHierarchy uniqueName="[Measures].[__No measures defined]" caption="__No measures defined" measure="1" displayFolder="" count="0" hidden="1"/>
  </cacheHierarchies>
  <kpis count="0"/>
  <dimensions count="6">
    <dimension name="leases" uniqueName="[leases]" caption="leases"/>
    <dimension name="locations" uniqueName="[locations]" caption="locations"/>
    <dimension measure="1" name="Measures" uniqueName="[Measures]" caption="Measures"/>
    <dimension name="properties" uniqueName="[properties]" caption="properties"/>
    <dimension name="tenants" uniqueName="[tenants]" caption="tenants"/>
    <dimension name="units" uniqueName="[units]" caption="units"/>
  </dimensions>
  <measureGroups count="5">
    <measureGroup name="leases" caption="leases"/>
    <measureGroup name="locations" caption="locations"/>
    <measureGroup name="properties" caption="properties"/>
    <measureGroup name="tenants" caption="tenants"/>
    <measureGroup name="units" caption="units"/>
  </measureGroups>
  <maps count="12">
    <map measureGroup="0" dimension="0"/>
    <map measureGroup="0" dimension="1"/>
    <map measureGroup="0" dimension="3"/>
    <map measureGroup="0" dimension="4"/>
    <map measureGroup="0" dimension="5"/>
    <map measureGroup="1" dimension="1"/>
    <map measureGroup="2" dimension="1"/>
    <map measureGroup="2" dimension="3"/>
    <map measureGroup="3" dimension="4"/>
    <map measureGroup="4" dimension="1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48.528847337962" backgroundQuery="1" createdVersion="7" refreshedVersion="7" minRefreshableVersion="3" recordCount="0" supportSubquery="1" supportAdvancedDrill="1" xr:uid="{C1B0F6BB-658F-44EE-A9D8-836CB982A2C1}">
  <cacheSource type="external" connectionId="6"/>
  <cacheFields count="3">
    <cacheField name="[locations].[name].[name]" caption="name" numFmtId="0" hierarchy="15" level="1">
      <sharedItems count="3">
        <s v="Kilimani"/>
        <s v="Nairobi Cbd"/>
        <s v="Westlands"/>
      </sharedItems>
    </cacheField>
    <cacheField name="[Measures].[average_monthly rent]" caption="average_monthly rent" numFmtId="0" hierarchy="37" level="32767"/>
    <cacheField name="[properties].[name].[name]" caption="name" numFmtId="0" hierarchy="17" level="1">
      <sharedItems count="3">
        <s v="Delta Corner"/>
        <s v="Nssf Towers"/>
        <s v="The Junction Residences"/>
      </sharedItems>
    </cacheField>
  </cacheFields>
  <cacheHierarchies count="44">
    <cacheHierarchy uniqueName="[leases].[id]" caption="id" attribute="1" defaultMemberUniqueName="[leases].[id].[All]" allUniqueName="[leases].[id].[All]" dimensionUniqueName="[leases]" displayFolder="" count="0" memberValueDatatype="20" unbalanced="0"/>
    <cacheHierarchy uniqueName="[leases].[unit_id]" caption="unit_id" attribute="1" defaultMemberUniqueName="[leases].[unit_id].[All]" allUniqueName="[leases].[unit_id].[All]" dimensionUniqueName="[leases]" displayFolder="" count="0" memberValueDatatype="20" unbalanced="0"/>
    <cacheHierarchy uniqueName="[leases].[tenant_id]" caption="tenant_id" attribute="1" defaultMemberUniqueName="[leases].[tenant_id].[All]" allUniqueName="[leases].[tenant_id].[All]" dimensionUniqueName="[leases]" displayFolder="" count="0" memberValueDatatype="20" unbalanced="0"/>
    <cacheHierarchy uniqueName="[leases].[rent_per_month]" caption="rent_per_month" attribute="1" defaultMemberUniqueName="[leases].[rent_per_month].[All]" allUniqueName="[leases].[rent_per_month].[All]" dimensionUniqueName="[leases]" displayFolder="" count="0" memberValueDatatype="20" unbalanced="0"/>
    <cacheHierarchy uniqueName="[leases].[annual_rent]" caption="annual_rent" attribute="1" defaultMemberUniqueName="[leases].[annual_rent].[All]" allUniqueName="[leases].[annual_rent].[All]" dimensionUniqueName="[leases]" displayFolder="" count="0" memberValueDatatype="20" unbalanced="0"/>
    <cacheHierarchy uniqueName="[leases].[arrears]" caption="arrears" attribute="1" defaultMemberUniqueName="[leases].[arrears].[All]" allUniqueName="[leases].[arrears].[All]" dimensionUniqueName="[leases]" displayFolder="" count="0" memberValueDatatype="20" unbalanced="0"/>
    <cacheHierarchy uniqueName="[leases].[start_date]" caption="start_date" attribute="1" time="1" defaultMemberUniqueName="[leases].[start_date].[All]" allUniqueName="[leases].[start_date].[All]" dimensionUniqueName="[leases]" displayFolder="" count="0" memberValueDatatype="7" unbalanced="0"/>
    <cacheHierarchy uniqueName="[leases].[end_date]" caption="end_date" attribute="1" defaultMemberUniqueName="[leases].[end_date].[All]" allUniqueName="[leases].[end_date].[All]" dimensionUniqueName="[leases]" displayFolder="" count="0" memberValueDatatype="130" unbalanced="0"/>
    <cacheHierarchy uniqueName="[leases].[valid]" caption="valid" attribute="1" defaultMemberUniqueName="[leases].[valid].[All]" allUniqueName="[leases].[valid].[All]" dimensionUniqueName="[leases]" displayFolder="" count="0" memberValueDatatype="20" unbalanced="0"/>
    <cacheHierarchy uniqueName="[leases].[duration_in_months]" caption="duration_in_months" attribute="1" defaultMemberUniqueName="[leases].[duration_in_months].[All]" allUniqueName="[leases].[duration_in_months].[All]" dimensionUniqueName="[leases]" displayFolder="" count="0" memberValueDatatype="20" unbalanced="0"/>
    <cacheHierarchy uniqueName="[leases].[status]" caption="status" attribute="1" defaultMemberUniqueName="[leases].[status].[All]" allUniqueName="[leases].[status].[All]" dimensionUniqueName="[leases]" displayFolder="" count="0" memberValueDatatype="130" unbalanced="0"/>
    <cacheHierarchy uniqueName="[leases].[start_date (Year)]" caption="start_date (Year)" attribute="1" defaultMemberUniqueName="[leases].[start_date (Year)].[All]" allUniqueName="[leases].[start_date (Year)].[All]" dimensionUniqueName="[leases]" displayFolder="" count="0" memberValueDatatype="130" unbalanced="0"/>
    <cacheHierarchy uniqueName="[leases].[start_date (Quarter)]" caption="start_date (Quarter)" attribute="1" defaultMemberUniqueName="[leases].[start_date (Quarter)].[All]" allUniqueName="[leases].[start_date (Quarter)].[All]" dimensionUniqueName="[leases]" displayFolder="" count="0" memberValueDatatype="130" unbalanced="0"/>
    <cacheHierarchy uniqueName="[leases].[start_date (Month)]" caption="start_date (Month)" attribute="1" defaultMemberUniqueName="[leases].[start_date (Month)].[All]" allUniqueName="[leases].[start_date (Month)].[All]" dimensionUniqueName="[leases]" displayFolder="" count="0" memberValueDatatype="130" unbalanced="0"/>
    <cacheHierarchy uniqueName="[locations].[id]" caption="id" attribute="1" defaultMemberUniqueName="[locations].[id].[All]" allUniqueName="[locations].[id].[All]" dimensionUniqueName="[locations]" displayFolder="" count="0" memberValueDatatype="20" unbalanced="0"/>
    <cacheHierarchy uniqueName="[locations].[name]" caption="name" attribute="1" defaultMemberUniqueName="[locations].[name].[All]" allUniqueName="[locations].[name].[All]" dimensionUniqueName="[locations]" displayFolder="" count="2" memberValueDatatype="130" unbalanced="0">
      <fieldsUsage count="2">
        <fieldUsage x="-1"/>
        <fieldUsage x="0"/>
      </fieldsUsage>
    </cacheHierarchy>
    <cacheHierarchy uniqueName="[properties].[id]" caption="id" attribute="1" defaultMemberUniqueName="[properties].[id].[All]" allUniqueName="[properties].[id].[All]" dimensionUniqueName="[properties]" displayFolder="" count="0" memberValueDatatype="20" unbalanced="0"/>
    <cacheHierarchy uniqueName="[properties].[name]" caption="name" attribute="1" defaultMemberUniqueName="[properties].[name].[All]" allUniqueName="[properties].[name].[All]" dimensionUniqueName="[properties]" displayFolder="" count="2" memberValueDatatype="130" unbalanced="0">
      <fieldsUsage count="2">
        <fieldUsage x="-1"/>
        <fieldUsage x="2"/>
      </fieldsUsage>
    </cacheHierarchy>
    <cacheHierarchy uniqueName="[properties].[location_id]" caption="location_id" attribute="1" defaultMemberUniqueName="[properties].[location_id].[All]" allUniqueName="[properties].[location_id].[All]" dimensionUniqueName="[properties]" displayFolder="" count="0" memberValueDatatype="20" unbalanced="0"/>
    <cacheHierarchy uniqueName="[tenants].[id]" caption="id" attribute="1" defaultMemberUniqueName="[tenants].[id].[All]" allUniqueName="[tenants].[id].[All]" dimensionUniqueName="[tenants]" displayFolder="" count="0" memberValueDatatype="20" unbalanced="0"/>
    <cacheHierarchy uniqueName="[tenants].[name]" caption="name" attribute="1" defaultMemberUniqueName="[tenants].[name].[All]" allUniqueName="[tenants].[name].[All]" dimensionUniqueName="[tenants]" displayFolder="" count="0" memberValueDatatype="130" unbalanced="0"/>
    <cacheHierarchy uniqueName="[tenants].[email]" caption="email" attribute="1" defaultMemberUniqueName="[tenants].[email].[All]" allUniqueName="[tenants].[email].[All]" dimensionUniqueName="[tenants]" displayFolder="" count="0" memberValueDatatype="130" unbalanced="0"/>
    <cacheHierarchy uniqueName="[units].[id]" caption="id" attribute="1" defaultMemberUniqueName="[units].[id].[All]" allUniqueName="[units].[id].[All]" dimensionUniqueName="[units]" displayFolder="" count="0" memberValueDatatype="20" unbalanced="0"/>
    <cacheHierarchy uniqueName="[units].[property_id]" caption="property_id" attribute="1" defaultMemberUniqueName="[units].[property_id].[All]" allUniqueName="[units].[property_id].[All]" dimensionUniqueName="[units]" displayFolder="" count="0" memberValueDatatype="20" unbalanced="0"/>
    <cacheHierarchy uniqueName="[units].[name]" caption="name" attribute="1" defaultMemberUniqueName="[units].[name].[All]" allUniqueName="[units].[name].[All]" dimensionUniqueName="[units]" displayFolder="" count="0" memberValueDatatype="130" unbalanced="0"/>
    <cacheHierarchy uniqueName="[units].[size]" caption="size" attribute="1" defaultMemberUniqueName="[units].[size].[All]" allUniqueName="[units].[size].[All]" dimensionUniqueName="[units]" displayFolder="" count="0" memberValueDatatype="5" unbalanced="0"/>
    <cacheHierarchy uniqueName="[leases].[start_date (Month Index)]" caption="start_date (Month Index)" attribute="1" defaultMemberUniqueName="[leases].[start_date (Month Index)].[All]" allUniqueName="[leases].[start_date (Month Index)].[All]" dimensionUniqueName="[leases]" displayFolder="" count="0" memberValueDatatype="20" unbalanced="0" hidden="1"/>
    <cacheHierarchy uniqueName="[Measures].[Sum of tenant_id]" caption="Sum of tenant_id" measure="1" displayFolder="" measureGroup="leas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d]" caption="Sum of id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d 2]" caption="Sum of id 2" measure="1" displayFolder="" measureGroup="uni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]" caption="Count of id" measure="1" displayFolder="" measureGroup="uni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 2]" caption="Count of id 2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_units]" caption="total_units" measure="1" displayFolder="" measureGroup="units" count="0"/>
    <cacheHierarchy uniqueName="[Measures].[total_tenants]" caption="total_tenants" measure="1" displayFolder="" measureGroup="tenants" count="0"/>
    <cacheHierarchy uniqueName="[Measures].[total_monthly_rent]" caption="total_monthly_rent" measure="1" displayFolder="" measureGroup="leases" count="0"/>
    <cacheHierarchy uniqueName="[Measures].[tatal_monthly_arrears]" caption="tatal_monthly_arrears" measure="1" displayFolder="" measureGroup="leases" count="0"/>
    <cacheHierarchy uniqueName="[Measures].[no_of_valid_leases]" caption="no_of_valid_leases" measure="1" displayFolder="" measureGroup="leases" count="0"/>
    <cacheHierarchy uniqueName="[Measures].[average_monthly rent]" caption="average_monthly rent" measure="1" displayFolder="" measureGroup="leases" count="0" oneField="1">
      <fieldsUsage count="1">
        <fieldUsage x="1"/>
      </fieldsUsage>
    </cacheHierarchy>
    <cacheHierarchy uniqueName="[Measures].[__XL_Count units]" caption="__XL_Count units" measure="1" displayFolder="" measureGroup="units" count="0" hidden="1"/>
    <cacheHierarchy uniqueName="[Measures].[__XL_Count tenants]" caption="__XL_Count tenants" measure="1" displayFolder="" measureGroup="tenants" count="0" hidden="1"/>
    <cacheHierarchy uniqueName="[Measures].[__XL_Count properties]" caption="__XL_Count properties" measure="1" displayFolder="" measureGroup="properties" count="0" hidden="1"/>
    <cacheHierarchy uniqueName="[Measures].[__XL_Count locations]" caption="__XL_Count locations" measure="1" displayFolder="" measureGroup="locations" count="0" hidden="1"/>
    <cacheHierarchy uniqueName="[Measures].[__XL_Count leases]" caption="__XL_Count leases" measure="1" displayFolder="" measureGroup="leases" count="0" hidden="1"/>
    <cacheHierarchy uniqueName="[Measures].[__No measures defined]" caption="__No measures defined" measure="1" displayFolder="" count="0" hidden="1"/>
  </cacheHierarchies>
  <kpis count="0"/>
  <dimensions count="6">
    <dimension name="leases" uniqueName="[leases]" caption="leases"/>
    <dimension name="locations" uniqueName="[locations]" caption="locations"/>
    <dimension measure="1" name="Measures" uniqueName="[Measures]" caption="Measures"/>
    <dimension name="properties" uniqueName="[properties]" caption="properties"/>
    <dimension name="tenants" uniqueName="[tenants]" caption="tenants"/>
    <dimension name="units" uniqueName="[units]" caption="units"/>
  </dimensions>
  <measureGroups count="5">
    <measureGroup name="leases" caption="leases"/>
    <measureGroup name="locations" caption="locations"/>
    <measureGroup name="properties" caption="properties"/>
    <measureGroup name="tenants" caption="tenants"/>
    <measureGroup name="units" caption="units"/>
  </measureGroups>
  <maps count="12">
    <map measureGroup="0" dimension="0"/>
    <map measureGroup="0" dimension="1"/>
    <map measureGroup="0" dimension="3"/>
    <map measureGroup="0" dimension="4"/>
    <map measureGroup="0" dimension="5"/>
    <map measureGroup="1" dimension="1"/>
    <map measureGroup="2" dimension="1"/>
    <map measureGroup="2" dimension="3"/>
    <map measureGroup="3" dimension="4"/>
    <map measureGroup="4" dimension="1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48.528848495371" backgroundQuery="1" createdVersion="7" refreshedVersion="7" minRefreshableVersion="3" recordCount="0" supportSubquery="1" supportAdvancedDrill="1" xr:uid="{A3930A72-C89D-4CC8-8752-FDA923BBFECC}">
  <cacheSource type="external" connectionId="6"/>
  <cacheFields count="3">
    <cacheField name="[locations].[name].[name]" caption="name" numFmtId="0" hierarchy="15" level="1">
      <sharedItems count="3">
        <s v="Kilimani"/>
        <s v="Nairobi Cbd"/>
        <s v="Westlands"/>
      </sharedItems>
    </cacheField>
    <cacheField name="[properties].[name].[name]" caption="name" numFmtId="0" hierarchy="17" level="1">
      <sharedItems count="3">
        <s v="Delta Corner"/>
        <s v="Nssf Towers"/>
        <s v="The Junction Residences"/>
      </sharedItems>
    </cacheField>
    <cacheField name="[Measures].[tatal_monthly_arrears]" caption="tatal_monthly_arrears" numFmtId="0" hierarchy="35" level="32767"/>
  </cacheFields>
  <cacheHierarchies count="44">
    <cacheHierarchy uniqueName="[leases].[id]" caption="id" attribute="1" defaultMemberUniqueName="[leases].[id].[All]" allUniqueName="[leases].[id].[All]" dimensionUniqueName="[leases]" displayFolder="" count="0" memberValueDatatype="20" unbalanced="0"/>
    <cacheHierarchy uniqueName="[leases].[unit_id]" caption="unit_id" attribute="1" defaultMemberUniqueName="[leases].[unit_id].[All]" allUniqueName="[leases].[unit_id].[All]" dimensionUniqueName="[leases]" displayFolder="" count="0" memberValueDatatype="20" unbalanced="0"/>
    <cacheHierarchy uniqueName="[leases].[tenant_id]" caption="tenant_id" attribute="1" defaultMemberUniqueName="[leases].[tenant_id].[All]" allUniqueName="[leases].[tenant_id].[All]" dimensionUniqueName="[leases]" displayFolder="" count="0" memberValueDatatype="20" unbalanced="0"/>
    <cacheHierarchy uniqueName="[leases].[rent_per_month]" caption="rent_per_month" attribute="1" defaultMemberUniqueName="[leases].[rent_per_month].[All]" allUniqueName="[leases].[rent_per_month].[All]" dimensionUniqueName="[leases]" displayFolder="" count="0" memberValueDatatype="20" unbalanced="0"/>
    <cacheHierarchy uniqueName="[leases].[annual_rent]" caption="annual_rent" attribute="1" defaultMemberUniqueName="[leases].[annual_rent].[All]" allUniqueName="[leases].[annual_rent].[All]" dimensionUniqueName="[leases]" displayFolder="" count="0" memberValueDatatype="20" unbalanced="0"/>
    <cacheHierarchy uniqueName="[leases].[arrears]" caption="arrears" attribute="1" defaultMemberUniqueName="[leases].[arrears].[All]" allUniqueName="[leases].[arrears].[All]" dimensionUniqueName="[leases]" displayFolder="" count="0" memberValueDatatype="20" unbalanced="0"/>
    <cacheHierarchy uniqueName="[leases].[start_date]" caption="start_date" attribute="1" time="1" defaultMemberUniqueName="[leases].[start_date].[All]" allUniqueName="[leases].[start_date].[All]" dimensionUniqueName="[leases]" displayFolder="" count="0" memberValueDatatype="7" unbalanced="0"/>
    <cacheHierarchy uniqueName="[leases].[end_date]" caption="end_date" attribute="1" defaultMemberUniqueName="[leases].[end_date].[All]" allUniqueName="[leases].[end_date].[All]" dimensionUniqueName="[leases]" displayFolder="" count="0" memberValueDatatype="130" unbalanced="0"/>
    <cacheHierarchy uniqueName="[leases].[valid]" caption="valid" attribute="1" defaultMemberUniqueName="[leases].[valid].[All]" allUniqueName="[leases].[valid].[All]" dimensionUniqueName="[leases]" displayFolder="" count="0" memberValueDatatype="20" unbalanced="0"/>
    <cacheHierarchy uniqueName="[leases].[duration_in_months]" caption="duration_in_months" attribute="1" defaultMemberUniqueName="[leases].[duration_in_months].[All]" allUniqueName="[leases].[duration_in_months].[All]" dimensionUniqueName="[leases]" displayFolder="" count="0" memberValueDatatype="20" unbalanced="0"/>
    <cacheHierarchy uniqueName="[leases].[status]" caption="status" attribute="1" defaultMemberUniqueName="[leases].[status].[All]" allUniqueName="[leases].[status].[All]" dimensionUniqueName="[leases]" displayFolder="" count="0" memberValueDatatype="130" unbalanced="0"/>
    <cacheHierarchy uniqueName="[leases].[start_date (Year)]" caption="start_date (Year)" attribute="1" defaultMemberUniqueName="[leases].[start_date (Year)].[All]" allUniqueName="[leases].[start_date (Year)].[All]" dimensionUniqueName="[leases]" displayFolder="" count="0" memberValueDatatype="130" unbalanced="0"/>
    <cacheHierarchy uniqueName="[leases].[start_date (Quarter)]" caption="start_date (Quarter)" attribute="1" defaultMemberUniqueName="[leases].[start_date (Quarter)].[All]" allUniqueName="[leases].[start_date (Quarter)].[All]" dimensionUniqueName="[leases]" displayFolder="" count="0" memberValueDatatype="130" unbalanced="0"/>
    <cacheHierarchy uniqueName="[leases].[start_date (Month)]" caption="start_date (Month)" attribute="1" defaultMemberUniqueName="[leases].[start_date (Month)].[All]" allUniqueName="[leases].[start_date (Month)].[All]" dimensionUniqueName="[leases]" displayFolder="" count="0" memberValueDatatype="130" unbalanced="0"/>
    <cacheHierarchy uniqueName="[locations].[id]" caption="id" attribute="1" defaultMemberUniqueName="[locations].[id].[All]" allUniqueName="[locations].[id].[All]" dimensionUniqueName="[locations]" displayFolder="" count="0" memberValueDatatype="20" unbalanced="0"/>
    <cacheHierarchy uniqueName="[locations].[name]" caption="name" attribute="1" defaultMemberUniqueName="[locations].[name].[All]" allUniqueName="[locations].[name].[All]" dimensionUniqueName="[locations]" displayFolder="" count="2" memberValueDatatype="130" unbalanced="0">
      <fieldsUsage count="2">
        <fieldUsage x="-1"/>
        <fieldUsage x="0"/>
      </fieldsUsage>
    </cacheHierarchy>
    <cacheHierarchy uniqueName="[properties].[id]" caption="id" attribute="1" defaultMemberUniqueName="[properties].[id].[All]" allUniqueName="[properties].[id].[All]" dimensionUniqueName="[properties]" displayFolder="" count="0" memberValueDatatype="20" unbalanced="0"/>
    <cacheHierarchy uniqueName="[properties].[name]" caption="name" attribute="1" defaultMemberUniqueName="[properties].[name].[All]" allUniqueName="[properties].[name].[All]" dimensionUniqueName="[properties]" displayFolder="" count="2" memberValueDatatype="130" unbalanced="0">
      <fieldsUsage count="2">
        <fieldUsage x="-1"/>
        <fieldUsage x="1"/>
      </fieldsUsage>
    </cacheHierarchy>
    <cacheHierarchy uniqueName="[properties].[location_id]" caption="location_id" attribute="1" defaultMemberUniqueName="[properties].[location_id].[All]" allUniqueName="[properties].[location_id].[All]" dimensionUniqueName="[properties]" displayFolder="" count="0" memberValueDatatype="20" unbalanced="0"/>
    <cacheHierarchy uniqueName="[tenants].[id]" caption="id" attribute="1" defaultMemberUniqueName="[tenants].[id].[All]" allUniqueName="[tenants].[id].[All]" dimensionUniqueName="[tenants]" displayFolder="" count="0" memberValueDatatype="20" unbalanced="0"/>
    <cacheHierarchy uniqueName="[tenants].[name]" caption="name" attribute="1" defaultMemberUniqueName="[tenants].[name].[All]" allUniqueName="[tenants].[name].[All]" dimensionUniqueName="[tenants]" displayFolder="" count="0" memberValueDatatype="130" unbalanced="0"/>
    <cacheHierarchy uniqueName="[tenants].[email]" caption="email" attribute="1" defaultMemberUniqueName="[tenants].[email].[All]" allUniqueName="[tenants].[email].[All]" dimensionUniqueName="[tenants]" displayFolder="" count="0" memberValueDatatype="130" unbalanced="0"/>
    <cacheHierarchy uniqueName="[units].[id]" caption="id" attribute="1" defaultMemberUniqueName="[units].[id].[All]" allUniqueName="[units].[id].[All]" dimensionUniqueName="[units]" displayFolder="" count="0" memberValueDatatype="20" unbalanced="0"/>
    <cacheHierarchy uniqueName="[units].[property_id]" caption="property_id" attribute="1" defaultMemberUniqueName="[units].[property_id].[All]" allUniqueName="[units].[property_id].[All]" dimensionUniqueName="[units]" displayFolder="" count="0" memberValueDatatype="20" unbalanced="0"/>
    <cacheHierarchy uniqueName="[units].[name]" caption="name" attribute="1" defaultMemberUniqueName="[units].[name].[All]" allUniqueName="[units].[name].[All]" dimensionUniqueName="[units]" displayFolder="" count="0" memberValueDatatype="130" unbalanced="0"/>
    <cacheHierarchy uniqueName="[units].[size]" caption="size" attribute="1" defaultMemberUniqueName="[units].[size].[All]" allUniqueName="[units].[size].[All]" dimensionUniqueName="[units]" displayFolder="" count="0" memberValueDatatype="5" unbalanced="0"/>
    <cacheHierarchy uniqueName="[leases].[start_date (Month Index)]" caption="start_date (Month Index)" attribute="1" defaultMemberUniqueName="[leases].[start_date (Month Index)].[All]" allUniqueName="[leases].[start_date (Month Index)].[All]" dimensionUniqueName="[leases]" displayFolder="" count="0" memberValueDatatype="20" unbalanced="0" hidden="1"/>
    <cacheHierarchy uniqueName="[Measures].[Sum of tenant_id]" caption="Sum of tenant_id" measure="1" displayFolder="" measureGroup="leas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d]" caption="Sum of id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d 2]" caption="Sum of id 2" measure="1" displayFolder="" measureGroup="uni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]" caption="Count of id" measure="1" displayFolder="" measureGroup="uni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 2]" caption="Count of id 2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_units]" caption="total_units" measure="1" displayFolder="" measureGroup="units" count="0"/>
    <cacheHierarchy uniqueName="[Measures].[total_tenants]" caption="total_tenants" measure="1" displayFolder="" measureGroup="tenants" count="0"/>
    <cacheHierarchy uniqueName="[Measures].[total_monthly_rent]" caption="total_monthly_rent" measure="1" displayFolder="" measureGroup="leases" count="0"/>
    <cacheHierarchy uniqueName="[Measures].[tatal_monthly_arrears]" caption="tatal_monthly_arrears" measure="1" displayFolder="" measureGroup="leases" count="0" oneField="1">
      <fieldsUsage count="1">
        <fieldUsage x="2"/>
      </fieldsUsage>
    </cacheHierarchy>
    <cacheHierarchy uniqueName="[Measures].[no_of_valid_leases]" caption="no_of_valid_leases" measure="1" displayFolder="" measureGroup="leases" count="0"/>
    <cacheHierarchy uniqueName="[Measures].[average_monthly rent]" caption="average_monthly rent" measure="1" displayFolder="" measureGroup="leases" count="0"/>
    <cacheHierarchy uniqueName="[Measures].[__XL_Count units]" caption="__XL_Count units" measure="1" displayFolder="" measureGroup="units" count="0" hidden="1"/>
    <cacheHierarchy uniqueName="[Measures].[__XL_Count tenants]" caption="__XL_Count tenants" measure="1" displayFolder="" measureGroup="tenants" count="0" hidden="1"/>
    <cacheHierarchy uniqueName="[Measures].[__XL_Count properties]" caption="__XL_Count properties" measure="1" displayFolder="" measureGroup="properties" count="0" hidden="1"/>
    <cacheHierarchy uniqueName="[Measures].[__XL_Count locations]" caption="__XL_Count locations" measure="1" displayFolder="" measureGroup="locations" count="0" hidden="1"/>
    <cacheHierarchy uniqueName="[Measures].[__XL_Count leases]" caption="__XL_Count leases" measure="1" displayFolder="" measureGroup="leases" count="0" hidden="1"/>
    <cacheHierarchy uniqueName="[Measures].[__No measures defined]" caption="__No measures defined" measure="1" displayFolder="" count="0" hidden="1"/>
  </cacheHierarchies>
  <kpis count="0"/>
  <dimensions count="6">
    <dimension name="leases" uniqueName="[leases]" caption="leases"/>
    <dimension name="locations" uniqueName="[locations]" caption="locations"/>
    <dimension measure="1" name="Measures" uniqueName="[Measures]" caption="Measures"/>
    <dimension name="properties" uniqueName="[properties]" caption="properties"/>
    <dimension name="tenants" uniqueName="[tenants]" caption="tenants"/>
    <dimension name="units" uniqueName="[units]" caption="units"/>
  </dimensions>
  <measureGroups count="5">
    <measureGroup name="leases" caption="leases"/>
    <measureGroup name="locations" caption="locations"/>
    <measureGroup name="properties" caption="properties"/>
    <measureGroup name="tenants" caption="tenants"/>
    <measureGroup name="units" caption="units"/>
  </measureGroups>
  <maps count="12">
    <map measureGroup="0" dimension="0"/>
    <map measureGroup="0" dimension="1"/>
    <map measureGroup="0" dimension="3"/>
    <map measureGroup="0" dimension="4"/>
    <map measureGroup="0" dimension="5"/>
    <map measureGroup="1" dimension="1"/>
    <map measureGroup="2" dimension="1"/>
    <map measureGroup="2" dimension="3"/>
    <map measureGroup="3" dimension="4"/>
    <map measureGroup="4" dimension="1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48.528849768518" backgroundQuery="1" createdVersion="7" refreshedVersion="7" minRefreshableVersion="3" recordCount="0" supportSubquery="1" supportAdvancedDrill="1" xr:uid="{353BF30F-A5CC-4334-93A5-1C0244FAB98E}">
  <cacheSource type="external" connectionId="6"/>
  <cacheFields count="4">
    <cacheField name="[locations].[name].[name]" caption="name" numFmtId="0" hierarchy="15" level="1">
      <sharedItems count="3">
        <s v="Kilimani"/>
        <s v="Nairobi Cbd"/>
        <s v="Westlands"/>
      </sharedItems>
    </cacheField>
    <cacheField name="[properties].[name].[name]" caption="name" numFmtId="0" hierarchy="17" level="1">
      <sharedItems count="5">
        <s v="Delta Corner"/>
        <s v="Kimathi House"/>
        <s v="Nssf Towers"/>
        <s v="Riverside Court"/>
        <s v="The Junction Residences"/>
      </sharedItems>
    </cacheField>
    <cacheField name="[Measures].[Count of id]" caption="Count of id" numFmtId="0" hierarchy="30" level="32767"/>
    <cacheField name="[Measures].[no_of_valid_leases]" caption="no_of_valid_leases" numFmtId="0" hierarchy="36" level="32767"/>
  </cacheFields>
  <cacheHierarchies count="44">
    <cacheHierarchy uniqueName="[leases].[id]" caption="id" attribute="1" defaultMemberUniqueName="[leases].[id].[All]" allUniqueName="[leases].[id].[All]" dimensionUniqueName="[leases]" displayFolder="" count="0" memberValueDatatype="20" unbalanced="0"/>
    <cacheHierarchy uniqueName="[leases].[unit_id]" caption="unit_id" attribute="1" defaultMemberUniqueName="[leases].[unit_id].[All]" allUniqueName="[leases].[unit_id].[All]" dimensionUniqueName="[leases]" displayFolder="" count="0" memberValueDatatype="20" unbalanced="0"/>
    <cacheHierarchy uniqueName="[leases].[tenant_id]" caption="tenant_id" attribute="1" defaultMemberUniqueName="[leases].[tenant_id].[All]" allUniqueName="[leases].[tenant_id].[All]" dimensionUniqueName="[leases]" displayFolder="" count="0" memberValueDatatype="20" unbalanced="0"/>
    <cacheHierarchy uniqueName="[leases].[rent_per_month]" caption="rent_per_month" attribute="1" defaultMemberUniqueName="[leases].[rent_per_month].[All]" allUniqueName="[leases].[rent_per_month].[All]" dimensionUniqueName="[leases]" displayFolder="" count="0" memberValueDatatype="20" unbalanced="0"/>
    <cacheHierarchy uniqueName="[leases].[annual_rent]" caption="annual_rent" attribute="1" defaultMemberUniqueName="[leases].[annual_rent].[All]" allUniqueName="[leases].[annual_rent].[All]" dimensionUniqueName="[leases]" displayFolder="" count="0" memberValueDatatype="20" unbalanced="0"/>
    <cacheHierarchy uniqueName="[leases].[arrears]" caption="arrears" attribute="1" defaultMemberUniqueName="[leases].[arrears].[All]" allUniqueName="[leases].[arrears].[All]" dimensionUniqueName="[leases]" displayFolder="" count="0" memberValueDatatype="20" unbalanced="0"/>
    <cacheHierarchy uniqueName="[leases].[start_date]" caption="start_date" attribute="1" time="1" defaultMemberUniqueName="[leases].[start_date].[All]" allUniqueName="[leases].[start_date].[All]" dimensionUniqueName="[leases]" displayFolder="" count="0" memberValueDatatype="7" unbalanced="0"/>
    <cacheHierarchy uniqueName="[leases].[end_date]" caption="end_date" attribute="1" defaultMemberUniqueName="[leases].[end_date].[All]" allUniqueName="[leases].[end_date].[All]" dimensionUniqueName="[leases]" displayFolder="" count="0" memberValueDatatype="130" unbalanced="0"/>
    <cacheHierarchy uniqueName="[leases].[valid]" caption="valid" attribute="1" defaultMemberUniqueName="[leases].[valid].[All]" allUniqueName="[leases].[valid].[All]" dimensionUniqueName="[leases]" displayFolder="" count="0" memberValueDatatype="20" unbalanced="0"/>
    <cacheHierarchy uniqueName="[leases].[duration_in_months]" caption="duration_in_months" attribute="1" defaultMemberUniqueName="[leases].[duration_in_months].[All]" allUniqueName="[leases].[duration_in_months].[All]" dimensionUniqueName="[leases]" displayFolder="" count="0" memberValueDatatype="20" unbalanced="0"/>
    <cacheHierarchy uniqueName="[leases].[status]" caption="status" attribute="1" defaultMemberUniqueName="[leases].[status].[All]" allUniqueName="[leases].[status].[All]" dimensionUniqueName="[leases]" displayFolder="" count="0" memberValueDatatype="130" unbalanced="0"/>
    <cacheHierarchy uniqueName="[leases].[start_date (Year)]" caption="start_date (Year)" attribute="1" defaultMemberUniqueName="[leases].[start_date (Year)].[All]" allUniqueName="[leases].[start_date (Year)].[All]" dimensionUniqueName="[leases]" displayFolder="" count="0" memberValueDatatype="130" unbalanced="0"/>
    <cacheHierarchy uniqueName="[leases].[start_date (Quarter)]" caption="start_date (Quarter)" attribute="1" defaultMemberUniqueName="[leases].[start_date (Quarter)].[All]" allUniqueName="[leases].[start_date (Quarter)].[All]" dimensionUniqueName="[leases]" displayFolder="" count="0" memberValueDatatype="130" unbalanced="0"/>
    <cacheHierarchy uniqueName="[leases].[start_date (Month)]" caption="start_date (Month)" attribute="1" defaultMemberUniqueName="[leases].[start_date (Month)].[All]" allUniqueName="[leases].[start_date (Month)].[All]" dimensionUniqueName="[leases]" displayFolder="" count="0" memberValueDatatype="130" unbalanced="0"/>
    <cacheHierarchy uniqueName="[locations].[id]" caption="id" attribute="1" defaultMemberUniqueName="[locations].[id].[All]" allUniqueName="[locations].[id].[All]" dimensionUniqueName="[locations]" displayFolder="" count="0" memberValueDatatype="20" unbalanced="0"/>
    <cacheHierarchy uniqueName="[locations].[name]" caption="name" attribute="1" defaultMemberUniqueName="[locations].[name].[All]" allUniqueName="[locations].[name].[All]" dimensionUniqueName="[locations]" displayFolder="" count="2" memberValueDatatype="130" unbalanced="0">
      <fieldsUsage count="2">
        <fieldUsage x="-1"/>
        <fieldUsage x="0"/>
      </fieldsUsage>
    </cacheHierarchy>
    <cacheHierarchy uniqueName="[properties].[id]" caption="id" attribute="1" defaultMemberUniqueName="[properties].[id].[All]" allUniqueName="[properties].[id].[All]" dimensionUniqueName="[properties]" displayFolder="" count="0" memberValueDatatype="20" unbalanced="0"/>
    <cacheHierarchy uniqueName="[properties].[name]" caption="name" attribute="1" defaultMemberUniqueName="[properties].[name].[All]" allUniqueName="[properties].[name].[All]" dimensionUniqueName="[properties]" displayFolder="" count="2" memberValueDatatype="130" unbalanced="0">
      <fieldsUsage count="2">
        <fieldUsage x="-1"/>
        <fieldUsage x="1"/>
      </fieldsUsage>
    </cacheHierarchy>
    <cacheHierarchy uniqueName="[properties].[location_id]" caption="location_id" attribute="1" defaultMemberUniqueName="[properties].[location_id].[All]" allUniqueName="[properties].[location_id].[All]" dimensionUniqueName="[properties]" displayFolder="" count="0" memberValueDatatype="20" unbalanced="0"/>
    <cacheHierarchy uniqueName="[tenants].[id]" caption="id" attribute="1" defaultMemberUniqueName="[tenants].[id].[All]" allUniqueName="[tenants].[id].[All]" dimensionUniqueName="[tenants]" displayFolder="" count="0" memberValueDatatype="20" unbalanced="0"/>
    <cacheHierarchy uniqueName="[tenants].[name]" caption="name" attribute="1" defaultMemberUniqueName="[tenants].[name].[All]" allUniqueName="[tenants].[name].[All]" dimensionUniqueName="[tenants]" displayFolder="" count="0" memberValueDatatype="130" unbalanced="0"/>
    <cacheHierarchy uniqueName="[tenants].[email]" caption="email" attribute="1" defaultMemberUniqueName="[tenants].[email].[All]" allUniqueName="[tenants].[email].[All]" dimensionUniqueName="[tenants]" displayFolder="" count="0" memberValueDatatype="130" unbalanced="0"/>
    <cacheHierarchy uniqueName="[units].[id]" caption="id" attribute="1" defaultMemberUniqueName="[units].[id].[All]" allUniqueName="[units].[id].[All]" dimensionUniqueName="[units]" displayFolder="" count="0" memberValueDatatype="20" unbalanced="0"/>
    <cacheHierarchy uniqueName="[units].[property_id]" caption="property_id" attribute="1" defaultMemberUniqueName="[units].[property_id].[All]" allUniqueName="[units].[property_id].[All]" dimensionUniqueName="[units]" displayFolder="" count="0" memberValueDatatype="20" unbalanced="0"/>
    <cacheHierarchy uniqueName="[units].[name]" caption="name" attribute="1" defaultMemberUniqueName="[units].[name].[All]" allUniqueName="[units].[name].[All]" dimensionUniqueName="[units]" displayFolder="" count="0" memberValueDatatype="130" unbalanced="0"/>
    <cacheHierarchy uniqueName="[units].[size]" caption="size" attribute="1" defaultMemberUniqueName="[units].[size].[All]" allUniqueName="[units].[size].[All]" dimensionUniqueName="[units]" displayFolder="" count="0" memberValueDatatype="5" unbalanced="0"/>
    <cacheHierarchy uniqueName="[leases].[start_date (Month Index)]" caption="start_date (Month Index)" attribute="1" defaultMemberUniqueName="[leases].[start_date (Month Index)].[All]" allUniqueName="[leases].[start_date (Month Index)].[All]" dimensionUniqueName="[leases]" displayFolder="" count="0" memberValueDatatype="20" unbalanced="0" hidden="1"/>
    <cacheHierarchy uniqueName="[Measures].[Sum of tenant_id]" caption="Sum of tenant_id" measure="1" displayFolder="" measureGroup="leas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d]" caption="Sum of id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d 2]" caption="Sum of id 2" measure="1" displayFolder="" measureGroup="uni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]" caption="Count of id" measure="1" displayFolder="" measureGroup="uni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 2]" caption="Count of id 2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_units]" caption="total_units" measure="1" displayFolder="" measureGroup="units" count="0"/>
    <cacheHierarchy uniqueName="[Measures].[total_tenants]" caption="total_tenants" measure="1" displayFolder="" measureGroup="tenants" count="0"/>
    <cacheHierarchy uniqueName="[Measures].[total_monthly_rent]" caption="total_monthly_rent" measure="1" displayFolder="" measureGroup="leases" count="0"/>
    <cacheHierarchy uniqueName="[Measures].[tatal_monthly_arrears]" caption="tatal_monthly_arrears" measure="1" displayFolder="" measureGroup="leases" count="0"/>
    <cacheHierarchy uniqueName="[Measures].[no_of_valid_leases]" caption="no_of_valid_leases" measure="1" displayFolder="" measureGroup="leases" count="0" oneField="1">
      <fieldsUsage count="1">
        <fieldUsage x="3"/>
      </fieldsUsage>
    </cacheHierarchy>
    <cacheHierarchy uniqueName="[Measures].[average_monthly rent]" caption="average_monthly rent" measure="1" displayFolder="" measureGroup="leases" count="0"/>
    <cacheHierarchy uniqueName="[Measures].[__XL_Count units]" caption="__XL_Count units" measure="1" displayFolder="" measureGroup="units" count="0" hidden="1"/>
    <cacheHierarchy uniqueName="[Measures].[__XL_Count tenants]" caption="__XL_Count tenants" measure="1" displayFolder="" measureGroup="tenants" count="0" hidden="1"/>
    <cacheHierarchy uniqueName="[Measures].[__XL_Count properties]" caption="__XL_Count properties" measure="1" displayFolder="" measureGroup="properties" count="0" hidden="1"/>
    <cacheHierarchy uniqueName="[Measures].[__XL_Count locations]" caption="__XL_Count locations" measure="1" displayFolder="" measureGroup="locations" count="0" hidden="1"/>
    <cacheHierarchy uniqueName="[Measures].[__XL_Count leases]" caption="__XL_Count leases" measure="1" displayFolder="" measureGroup="leases" count="0" hidden="1"/>
    <cacheHierarchy uniqueName="[Measures].[__No measures defined]" caption="__No measures defined" measure="1" displayFolder="" count="0" hidden="1"/>
  </cacheHierarchies>
  <kpis count="0"/>
  <dimensions count="6">
    <dimension name="leases" uniqueName="[leases]" caption="leases"/>
    <dimension name="locations" uniqueName="[locations]" caption="locations"/>
    <dimension measure="1" name="Measures" uniqueName="[Measures]" caption="Measures"/>
    <dimension name="properties" uniqueName="[properties]" caption="properties"/>
    <dimension name="tenants" uniqueName="[tenants]" caption="tenants"/>
    <dimension name="units" uniqueName="[units]" caption="units"/>
  </dimensions>
  <measureGroups count="5">
    <measureGroup name="leases" caption="leases"/>
    <measureGroup name="locations" caption="locations"/>
    <measureGroup name="properties" caption="properties"/>
    <measureGroup name="tenants" caption="tenants"/>
    <measureGroup name="units" caption="units"/>
  </measureGroups>
  <maps count="12">
    <map measureGroup="0" dimension="0"/>
    <map measureGroup="0" dimension="1"/>
    <map measureGroup="0" dimension="3"/>
    <map measureGroup="0" dimension="4"/>
    <map measureGroup="0" dimension="5"/>
    <map measureGroup="1" dimension="1"/>
    <map measureGroup="2" dimension="1"/>
    <map measureGroup="2" dimension="3"/>
    <map measureGroup="3" dimension="4"/>
    <map measureGroup="4" dimension="1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48.528850810188" backgroundQuery="1" createdVersion="7" refreshedVersion="7" minRefreshableVersion="3" recordCount="0" supportSubquery="1" supportAdvancedDrill="1" xr:uid="{8F086EA6-2319-4556-8B2D-664537A2B90C}">
  <cacheSource type="external" connectionId="6"/>
  <cacheFields count="3">
    <cacheField name="[Measures].[total_monthly_rent]" caption="total_monthly_rent" numFmtId="0" hierarchy="34" level="32767"/>
    <cacheField name="[Measures].[tatal_monthly_arrears]" caption="tatal_monthly_arrears" numFmtId="0" hierarchy="35" level="32767"/>
    <cacheField name="[locations].[name].[name]" caption="name" numFmtId="0" hierarchy="15" level="1">
      <sharedItems count="3">
        <s v="Kilimani"/>
        <s v="Nairobi Cbd"/>
        <s v="Westlands"/>
      </sharedItems>
    </cacheField>
  </cacheFields>
  <cacheHierarchies count="44">
    <cacheHierarchy uniqueName="[leases].[id]" caption="id" attribute="1" defaultMemberUniqueName="[leases].[id].[All]" allUniqueName="[leases].[id].[All]" dimensionUniqueName="[leases]" displayFolder="" count="0" memberValueDatatype="20" unbalanced="0"/>
    <cacheHierarchy uniqueName="[leases].[unit_id]" caption="unit_id" attribute="1" defaultMemberUniqueName="[leases].[unit_id].[All]" allUniqueName="[leases].[unit_id].[All]" dimensionUniqueName="[leases]" displayFolder="" count="0" memberValueDatatype="20" unbalanced="0"/>
    <cacheHierarchy uniqueName="[leases].[tenant_id]" caption="tenant_id" attribute="1" defaultMemberUniqueName="[leases].[tenant_id].[All]" allUniqueName="[leases].[tenant_id].[All]" dimensionUniqueName="[leases]" displayFolder="" count="0" memberValueDatatype="20" unbalanced="0"/>
    <cacheHierarchy uniqueName="[leases].[rent_per_month]" caption="rent_per_month" attribute="1" defaultMemberUniqueName="[leases].[rent_per_month].[All]" allUniqueName="[leases].[rent_per_month].[All]" dimensionUniqueName="[leases]" displayFolder="" count="0" memberValueDatatype="20" unbalanced="0"/>
    <cacheHierarchy uniqueName="[leases].[annual_rent]" caption="annual_rent" attribute="1" defaultMemberUniqueName="[leases].[annual_rent].[All]" allUniqueName="[leases].[annual_rent].[All]" dimensionUniqueName="[leases]" displayFolder="" count="0" memberValueDatatype="20" unbalanced="0"/>
    <cacheHierarchy uniqueName="[leases].[arrears]" caption="arrears" attribute="1" defaultMemberUniqueName="[leases].[arrears].[All]" allUniqueName="[leases].[arrears].[All]" dimensionUniqueName="[leases]" displayFolder="" count="0" memberValueDatatype="20" unbalanced="0"/>
    <cacheHierarchy uniqueName="[leases].[start_date]" caption="start_date" attribute="1" time="1" defaultMemberUniqueName="[leases].[start_date].[All]" allUniqueName="[leases].[start_date].[All]" dimensionUniqueName="[leases]" displayFolder="" count="0" memberValueDatatype="7" unbalanced="0"/>
    <cacheHierarchy uniqueName="[leases].[end_date]" caption="end_date" attribute="1" defaultMemberUniqueName="[leases].[end_date].[All]" allUniqueName="[leases].[end_date].[All]" dimensionUniqueName="[leases]" displayFolder="" count="0" memberValueDatatype="130" unbalanced="0"/>
    <cacheHierarchy uniqueName="[leases].[valid]" caption="valid" attribute="1" defaultMemberUniqueName="[leases].[valid].[All]" allUniqueName="[leases].[valid].[All]" dimensionUniqueName="[leases]" displayFolder="" count="0" memberValueDatatype="20" unbalanced="0"/>
    <cacheHierarchy uniqueName="[leases].[duration_in_months]" caption="duration_in_months" attribute="1" defaultMemberUniqueName="[leases].[duration_in_months].[All]" allUniqueName="[leases].[duration_in_months].[All]" dimensionUniqueName="[leases]" displayFolder="" count="0" memberValueDatatype="20" unbalanced="0"/>
    <cacheHierarchy uniqueName="[leases].[status]" caption="status" attribute="1" defaultMemberUniqueName="[leases].[status].[All]" allUniqueName="[leases].[status].[All]" dimensionUniqueName="[leases]" displayFolder="" count="0" memberValueDatatype="130" unbalanced="0"/>
    <cacheHierarchy uniqueName="[leases].[start_date (Year)]" caption="start_date (Year)" attribute="1" defaultMemberUniqueName="[leases].[start_date (Year)].[All]" allUniqueName="[leases].[start_date (Year)].[All]" dimensionUniqueName="[leases]" displayFolder="" count="0" memberValueDatatype="130" unbalanced="0"/>
    <cacheHierarchy uniqueName="[leases].[start_date (Quarter)]" caption="start_date (Quarter)" attribute="1" defaultMemberUniqueName="[leases].[start_date (Quarter)].[All]" allUniqueName="[leases].[start_date (Quarter)].[All]" dimensionUniqueName="[leases]" displayFolder="" count="0" memberValueDatatype="130" unbalanced="0"/>
    <cacheHierarchy uniqueName="[leases].[start_date (Month)]" caption="start_date (Month)" attribute="1" defaultMemberUniqueName="[leases].[start_date (Month)].[All]" allUniqueName="[leases].[start_date (Month)].[All]" dimensionUniqueName="[leases]" displayFolder="" count="0" memberValueDatatype="130" unbalanced="0"/>
    <cacheHierarchy uniqueName="[locations].[id]" caption="id" attribute="1" defaultMemberUniqueName="[locations].[id].[All]" allUniqueName="[locations].[id].[All]" dimensionUniqueName="[locations]" displayFolder="" count="0" memberValueDatatype="20" unbalanced="0"/>
    <cacheHierarchy uniqueName="[locations].[name]" caption="name" attribute="1" defaultMemberUniqueName="[locations].[name].[All]" allUniqueName="[locations].[name].[All]" dimensionUniqueName="[locations]" displayFolder="" count="2" memberValueDatatype="130" unbalanced="0">
      <fieldsUsage count="2">
        <fieldUsage x="-1"/>
        <fieldUsage x="2"/>
      </fieldsUsage>
    </cacheHierarchy>
    <cacheHierarchy uniqueName="[properties].[id]" caption="id" attribute="1" defaultMemberUniqueName="[properties].[id].[All]" allUniqueName="[properties].[id].[All]" dimensionUniqueName="[properties]" displayFolder="" count="0" memberValueDatatype="20" unbalanced="0"/>
    <cacheHierarchy uniqueName="[properties].[name]" caption="name" attribute="1" defaultMemberUniqueName="[properties].[name].[All]" allUniqueName="[properties].[name].[All]" dimensionUniqueName="[properties]" displayFolder="" count="0" memberValueDatatype="130" unbalanced="0"/>
    <cacheHierarchy uniqueName="[properties].[location_id]" caption="location_id" attribute="1" defaultMemberUniqueName="[properties].[location_id].[All]" allUniqueName="[properties].[location_id].[All]" dimensionUniqueName="[properties]" displayFolder="" count="0" memberValueDatatype="20" unbalanced="0"/>
    <cacheHierarchy uniqueName="[tenants].[id]" caption="id" attribute="1" defaultMemberUniqueName="[tenants].[id].[All]" allUniqueName="[tenants].[id].[All]" dimensionUniqueName="[tenants]" displayFolder="" count="0" memberValueDatatype="20" unbalanced="0"/>
    <cacheHierarchy uniqueName="[tenants].[name]" caption="name" attribute="1" defaultMemberUniqueName="[tenants].[name].[All]" allUniqueName="[tenants].[name].[All]" dimensionUniqueName="[tenants]" displayFolder="" count="0" memberValueDatatype="130" unbalanced="0"/>
    <cacheHierarchy uniqueName="[tenants].[email]" caption="email" attribute="1" defaultMemberUniqueName="[tenants].[email].[All]" allUniqueName="[tenants].[email].[All]" dimensionUniqueName="[tenants]" displayFolder="" count="0" memberValueDatatype="130" unbalanced="0"/>
    <cacheHierarchy uniqueName="[units].[id]" caption="id" attribute="1" defaultMemberUniqueName="[units].[id].[All]" allUniqueName="[units].[id].[All]" dimensionUniqueName="[units]" displayFolder="" count="0" memberValueDatatype="20" unbalanced="0"/>
    <cacheHierarchy uniqueName="[units].[property_id]" caption="property_id" attribute="1" defaultMemberUniqueName="[units].[property_id].[All]" allUniqueName="[units].[property_id].[All]" dimensionUniqueName="[units]" displayFolder="" count="0" memberValueDatatype="20" unbalanced="0"/>
    <cacheHierarchy uniqueName="[units].[name]" caption="name" attribute="1" defaultMemberUniqueName="[units].[name].[All]" allUniqueName="[units].[name].[All]" dimensionUniqueName="[units]" displayFolder="" count="0" memberValueDatatype="130" unbalanced="0"/>
    <cacheHierarchy uniqueName="[units].[size]" caption="size" attribute="1" defaultMemberUniqueName="[units].[size].[All]" allUniqueName="[units].[size].[All]" dimensionUniqueName="[units]" displayFolder="" count="0" memberValueDatatype="5" unbalanced="0"/>
    <cacheHierarchy uniqueName="[leases].[start_date (Month Index)]" caption="start_date (Month Index)" attribute="1" defaultMemberUniqueName="[leases].[start_date (Month Index)].[All]" allUniqueName="[leases].[start_date (Month Index)].[All]" dimensionUniqueName="[leases]" displayFolder="" count="0" memberValueDatatype="20" unbalanced="0" hidden="1"/>
    <cacheHierarchy uniqueName="[Measures].[Sum of tenant_id]" caption="Sum of tenant_id" measure="1" displayFolder="" measureGroup="leas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d]" caption="Sum of id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d 2]" caption="Sum of id 2" measure="1" displayFolder="" measureGroup="uni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]" caption="Count of id" measure="1" displayFolder="" measureGroup="uni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d 2]" caption="Count of id 2" measure="1" displayFolder="" measureGroup="lea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_units]" caption="total_units" measure="1" displayFolder="" measureGroup="units" count="0"/>
    <cacheHierarchy uniqueName="[Measures].[total_tenants]" caption="total_tenants" measure="1" displayFolder="" measureGroup="tenants" count="0"/>
    <cacheHierarchy uniqueName="[Measures].[total_monthly_rent]" caption="total_monthly_rent" measure="1" displayFolder="" measureGroup="leases" count="0" oneField="1">
      <fieldsUsage count="1">
        <fieldUsage x="0"/>
      </fieldsUsage>
    </cacheHierarchy>
    <cacheHierarchy uniqueName="[Measures].[tatal_monthly_arrears]" caption="tatal_monthly_arrears" measure="1" displayFolder="" measureGroup="leases" count="0" oneField="1">
      <fieldsUsage count="1">
        <fieldUsage x="1"/>
      </fieldsUsage>
    </cacheHierarchy>
    <cacheHierarchy uniqueName="[Measures].[no_of_valid_leases]" caption="no_of_valid_leases" measure="1" displayFolder="" measureGroup="leases" count="0"/>
    <cacheHierarchy uniqueName="[Measures].[average_monthly rent]" caption="average_monthly rent" measure="1" displayFolder="" measureGroup="leases" count="0"/>
    <cacheHierarchy uniqueName="[Measures].[__XL_Count units]" caption="__XL_Count units" measure="1" displayFolder="" measureGroup="units" count="0" hidden="1"/>
    <cacheHierarchy uniqueName="[Measures].[__XL_Count tenants]" caption="__XL_Count tenants" measure="1" displayFolder="" measureGroup="tenants" count="0" hidden="1"/>
    <cacheHierarchy uniqueName="[Measures].[__XL_Count properties]" caption="__XL_Count properties" measure="1" displayFolder="" measureGroup="properties" count="0" hidden="1"/>
    <cacheHierarchy uniqueName="[Measures].[__XL_Count locations]" caption="__XL_Count locations" measure="1" displayFolder="" measureGroup="locations" count="0" hidden="1"/>
    <cacheHierarchy uniqueName="[Measures].[__XL_Count leases]" caption="__XL_Count leases" measure="1" displayFolder="" measureGroup="leases" count="0" hidden="1"/>
    <cacheHierarchy uniqueName="[Measures].[__No measures defined]" caption="__No measures defined" measure="1" displayFolder="" count="0" hidden="1"/>
  </cacheHierarchies>
  <kpis count="0"/>
  <dimensions count="6">
    <dimension name="leases" uniqueName="[leases]" caption="leases"/>
    <dimension name="locations" uniqueName="[locations]" caption="locations"/>
    <dimension measure="1" name="Measures" uniqueName="[Measures]" caption="Measures"/>
    <dimension name="properties" uniqueName="[properties]" caption="properties"/>
    <dimension name="tenants" uniqueName="[tenants]" caption="tenants"/>
    <dimension name="units" uniqueName="[units]" caption="units"/>
  </dimensions>
  <measureGroups count="5">
    <measureGroup name="leases" caption="leases"/>
    <measureGroup name="locations" caption="locations"/>
    <measureGroup name="properties" caption="properties"/>
    <measureGroup name="tenants" caption="tenants"/>
    <measureGroup name="units" caption="units"/>
  </measureGroups>
  <maps count="12">
    <map measureGroup="0" dimension="0"/>
    <map measureGroup="0" dimension="1"/>
    <map measureGroup="0" dimension="3"/>
    <map measureGroup="0" dimension="4"/>
    <map measureGroup="0" dimension="5"/>
    <map measureGroup="1" dimension="1"/>
    <map measureGroup="2" dimension="1"/>
    <map measureGroup="2" dimension="3"/>
    <map measureGroup="3" dimension="4"/>
    <map measureGroup="4" dimension="1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31A50-04EE-4DA7-840E-A3B9B1745CD7}" name="PivotTable3" cacheId="301" applyNumberFormats="0" applyBorderFormats="0" applyFontFormats="0" applyPatternFormats="0" applyAlignmentFormats="0" applyWidthHeightFormats="1" dataCaption="Values" tag="86cd861f-de84-4715-be92-190b97db6162" updatedVersion="7" minRefreshableVersion="3" useAutoFormatting="1" subtotalHiddenItems="1" itemPrintTitles="1" createdVersion="7" indent="0" outline="1" outlineData="1" multipleFieldFilters="0" chartFormat="1">
  <location ref="B27:C31" firstHeaderRow="1" firstDataRow="1" firstDataCol="1"/>
  <pivotFields count="3">
    <pivotField name="Location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oc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 of Units"/>
    <pivotHierarchy dragToData="1" caption="Occupied Unit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eases]"/>
        <x15:activeTabTopLevelEntity name="[locations]"/>
        <x15:activeTabTopLevelEntity name="[properties]"/>
        <x15:activeTabTopLevelEntity name="[un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B4E51-BB82-4B64-9D5A-EA7BFB247373}" name="PivotTable2" cacheId="302" applyNumberFormats="0" applyBorderFormats="0" applyFontFormats="0" applyPatternFormats="0" applyAlignmentFormats="0" applyWidthHeightFormats="1" dataCaption="Values" tag="2ed4f8c3-2097-4488-be8e-d18cbc78f03f" updatedVersion="7" minRefreshableVersion="3" useAutoFormatting="1" subtotalHiddenItems="1" itemPrintTitles="1" createdVersion="7" indent="0" outline="1" outlineData="1" multipleFieldFilters="0" chartFormat="1">
  <location ref="B14:D20" firstHeaderRow="0" firstDataRow="1" firstDataCol="1"/>
  <pivotFields count="4">
    <pivotField name="Location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Units" fld="2" subtotal="count" baseField="1" baseItem="0"/>
    <dataField fld="3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oc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 of Units"/>
    <pivotHierarchy dragToData="1" caption="Occupied Unit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eases]"/>
        <x15:activeTabTopLevelEntity name="[locations]"/>
        <x15:activeTabTopLevelEntity name="[properties]"/>
        <x15:activeTabTopLevelEntity name="[un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F7807-8F1A-4CFE-8C0B-8E6443D1A93D}" name="PivotTable1" cacheId="303" applyNumberFormats="0" applyBorderFormats="0" applyFontFormats="0" applyPatternFormats="0" applyAlignmentFormats="0" applyWidthHeightFormats="1" dataCaption="Values" tag="f412e220-976b-44ab-a6ac-cd0eb5046aa1" updatedVersion="7" minRefreshableVersion="3" useAutoFormatting="1" subtotalHiddenItems="1" itemPrintTitles="1" createdVersion="7" indent="0" outline="1" outlineData="1" multipleFieldFilters="0" chartFormat="1">
  <location ref="B3:D7" firstHeaderRow="0" firstDataRow="1" firstDataCol="1"/>
  <pivotFields count="3">
    <pivotField dataField="1" subtotalTop="0" showAll="0" defaultSubtotal="0"/>
    <pivotField dataField="1" subtotalTop="0" showAll="0" defaultSubtotal="0"/>
    <pivotField name="Location"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eases]"/>
        <x15:activeTabTopLevelEntity name="[loc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3DAE2-3043-4D55-B609-2EBFE3BBC092}" name="PivotTable5" cacheId="299" applyNumberFormats="0" applyBorderFormats="0" applyFontFormats="0" applyPatternFormats="0" applyAlignmentFormats="0" applyWidthHeightFormats="1" dataCaption="Values" tag="04f4112f-0350-4d93-bde9-630e2df6d410" updatedVersion="7" minRefreshableVersion="3" useAutoFormatting="1" subtotalHiddenItems="1" itemPrintTitles="1" createdVersion="7" indent="0" outline="1" outlineData="1" multipleFieldFilters="0" chartFormat="1">
  <location ref="B46:C50" firstHeaderRow="1" firstDataRow="1" firstDataCol="1"/>
  <pivotFields count="2">
    <pivotField name="Location"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oc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 of Units"/>
    <pivotHierarchy dragToData="1" caption="Occupied Unit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eases]"/>
        <x15:activeTabTopLevelEntity name="[locations]"/>
        <x15:activeTabTopLevelEntity name="[properties]"/>
        <x15:activeTabTopLevelEntity name="[un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F842F-511D-419E-8717-B93680CAB7C5}" name="PivotTable4" cacheId="300" applyNumberFormats="0" applyBorderFormats="0" applyFontFormats="0" applyPatternFormats="0" applyAlignmentFormats="0" applyWidthHeightFormats="1" dataCaption="Values" tag="0cec3538-06f0-420e-8bf2-c78d2dd62d4e" updatedVersion="7" minRefreshableVersion="3" useAutoFormatting="1" subtotalHiddenItems="1" itemPrintTitles="1" createdVersion="7" indent="0" outline="1" outlineData="1" multipleFieldFilters="0" chartFormat="1">
  <location ref="B38:C42" firstHeaderRow="1" firstDataRow="1" firstDataCol="1"/>
  <pivotFields count="3">
    <pivotField name="Location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oc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 of Units"/>
    <pivotHierarchy dragToData="1" caption="Occupied Unit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eases]"/>
        <x15:activeTabTopLevelEntity name="[locations]"/>
        <x15:activeTabTopLevelEntity name="[properties]"/>
        <x15:activeTabTopLevelEntity name="[un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989DF-A557-47EA-BD80-1F4D17D46C74}" name="Table2" displayName="Table2" ref="F14:I20" totalsRowShown="0">
  <autoFilter ref="F14:I20" xr:uid="{70B989DF-A557-47EA-BD80-1F4D17D46C74}"/>
  <tableColumns count="4">
    <tableColumn id="1" xr3:uid="{B99AD0F0-67C0-416C-ACD2-FCEAD0873F18}" name="Location">
      <calculatedColumnFormula>B15</calculatedColumnFormula>
    </tableColumn>
    <tableColumn id="2" xr3:uid="{88494E30-DD1B-423E-8628-4583C14B1E69}" name="No of Units">
      <calculatedColumnFormula>C15</calculatedColumnFormula>
    </tableColumn>
    <tableColumn id="3" xr3:uid="{C3C3E9E0-7140-449B-8CF7-A8A538707520}" name="Occupied Units">
      <calculatedColumnFormula>D15</calculatedColumnFormula>
    </tableColumn>
    <tableColumn id="4" xr3:uid="{52E6FA77-22BE-4F1F-86A1-4D0C513D7AEB}" name="%occupancy" dataDxfId="0" dataCellStyle="Percent">
      <calculatedColumnFormula>H15/G15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D9DC-6AB5-499A-9650-770580692BD0}">
  <dimension ref="A1:I50"/>
  <sheetViews>
    <sheetView tabSelected="1" topLeftCell="A46" workbookViewId="0">
      <selection activeCell="A44" sqref="A44"/>
    </sheetView>
  </sheetViews>
  <sheetFormatPr defaultRowHeight="14.5" x14ac:dyDescent="0.35"/>
  <cols>
    <col min="1" max="1" width="53" bestFit="1" customWidth="1"/>
    <col min="2" max="2" width="13.26953125" bestFit="1" customWidth="1"/>
    <col min="3" max="4" width="19.90625" bestFit="1" customWidth="1"/>
    <col min="5" max="5" width="9.453125" bestFit="1" customWidth="1"/>
    <col min="6" max="6" width="21.1796875" bestFit="1" customWidth="1"/>
    <col min="7" max="7" width="12.453125" bestFit="1" customWidth="1"/>
    <col min="8" max="8" width="15.7265625" bestFit="1" customWidth="1"/>
    <col min="9" max="9" width="13.26953125" bestFit="1" customWidth="1"/>
    <col min="10" max="10" width="8.453125" bestFit="1" customWidth="1"/>
    <col min="11" max="11" width="9.453125" bestFit="1" customWidth="1"/>
    <col min="12" max="13" width="8.453125" bestFit="1" customWidth="1"/>
    <col min="14" max="14" width="10.7265625" bestFit="1" customWidth="1"/>
  </cols>
  <sheetData>
    <row r="1" spans="1:9" x14ac:dyDescent="0.35">
      <c r="A1" s="4" t="s">
        <v>7</v>
      </c>
    </row>
    <row r="3" spans="1:9" x14ac:dyDescent="0.35">
      <c r="B3" s="2" t="s">
        <v>2</v>
      </c>
      <c r="C3" t="s">
        <v>0</v>
      </c>
      <c r="D3" t="s">
        <v>1</v>
      </c>
    </row>
    <row r="4" spans="1:9" x14ac:dyDescent="0.35">
      <c r="B4" s="3" t="s">
        <v>3</v>
      </c>
      <c r="C4" s="1">
        <v>78000</v>
      </c>
      <c r="D4" s="1">
        <v>3000</v>
      </c>
    </row>
    <row r="5" spans="1:9" x14ac:dyDescent="0.35">
      <c r="B5" s="3" t="s">
        <v>4</v>
      </c>
      <c r="C5" s="1">
        <v>265000</v>
      </c>
      <c r="D5" s="1">
        <v>4000</v>
      </c>
    </row>
    <row r="6" spans="1:9" x14ac:dyDescent="0.35">
      <c r="B6" s="3" t="s">
        <v>5</v>
      </c>
      <c r="C6" s="1">
        <v>235000</v>
      </c>
      <c r="D6" s="1">
        <v>21000</v>
      </c>
    </row>
    <row r="7" spans="1:9" x14ac:dyDescent="0.35">
      <c r="B7" s="3" t="s">
        <v>6</v>
      </c>
      <c r="C7" s="1">
        <v>578000</v>
      </c>
      <c r="D7" s="1">
        <v>28000</v>
      </c>
    </row>
    <row r="11" spans="1:9" x14ac:dyDescent="0.35">
      <c r="A11" s="4" t="s">
        <v>8</v>
      </c>
    </row>
    <row r="14" spans="1:9" x14ac:dyDescent="0.35">
      <c r="B14" s="2" t="s">
        <v>2</v>
      </c>
      <c r="C14" t="s">
        <v>14</v>
      </c>
      <c r="D14" t="s">
        <v>18</v>
      </c>
      <c r="F14" t="s">
        <v>16</v>
      </c>
      <c r="G14" t="s">
        <v>14</v>
      </c>
      <c r="H14" t="s">
        <v>15</v>
      </c>
      <c r="I14" t="s">
        <v>17</v>
      </c>
    </row>
    <row r="15" spans="1:9" x14ac:dyDescent="0.35">
      <c r="B15" s="3" t="s">
        <v>9</v>
      </c>
      <c r="C15">
        <v>5</v>
      </c>
      <c r="D15" s="6">
        <v>4</v>
      </c>
      <c r="F15" t="str">
        <f>B15</f>
        <v>Delta Corner</v>
      </c>
      <c r="G15">
        <f t="shared" ref="G15:H20" si="0">C15</f>
        <v>5</v>
      </c>
      <c r="H15">
        <f t="shared" si="0"/>
        <v>4</v>
      </c>
      <c r="I15" s="5">
        <f>H15/G15</f>
        <v>0.8</v>
      </c>
    </row>
    <row r="16" spans="1:9" x14ac:dyDescent="0.35">
      <c r="B16" s="3" t="s">
        <v>10</v>
      </c>
      <c r="C16">
        <v>3</v>
      </c>
      <c r="D16" s="6"/>
      <c r="F16" t="str">
        <f t="shared" ref="F16:F20" si="1">B16</f>
        <v>Kimathi House</v>
      </c>
      <c r="G16">
        <f t="shared" si="0"/>
        <v>3</v>
      </c>
      <c r="H16">
        <f t="shared" si="0"/>
        <v>0</v>
      </c>
      <c r="I16" s="5">
        <f t="shared" ref="I16:I20" si="2">H16/G16</f>
        <v>0</v>
      </c>
    </row>
    <row r="17" spans="1:9" x14ac:dyDescent="0.35">
      <c r="B17" s="3" t="s">
        <v>11</v>
      </c>
      <c r="C17">
        <v>5</v>
      </c>
      <c r="D17" s="6">
        <v>5</v>
      </c>
      <c r="F17" t="str">
        <f t="shared" si="1"/>
        <v>Nssf Towers</v>
      </c>
      <c r="G17">
        <f t="shared" si="0"/>
        <v>5</v>
      </c>
      <c r="H17">
        <f t="shared" si="0"/>
        <v>5</v>
      </c>
      <c r="I17" s="5">
        <f t="shared" si="2"/>
        <v>1</v>
      </c>
    </row>
    <row r="18" spans="1:9" x14ac:dyDescent="0.35">
      <c r="B18" s="3" t="s">
        <v>12</v>
      </c>
      <c r="C18">
        <v>3</v>
      </c>
      <c r="D18" s="6"/>
      <c r="F18" t="str">
        <f t="shared" si="1"/>
        <v>Riverside Court</v>
      </c>
      <c r="G18">
        <f t="shared" si="0"/>
        <v>3</v>
      </c>
      <c r="H18">
        <f t="shared" si="0"/>
        <v>0</v>
      </c>
      <c r="I18" s="5">
        <f t="shared" si="2"/>
        <v>0</v>
      </c>
    </row>
    <row r="19" spans="1:9" x14ac:dyDescent="0.35">
      <c r="B19" s="3" t="s">
        <v>13</v>
      </c>
      <c r="C19">
        <v>4</v>
      </c>
      <c r="D19" s="6">
        <v>2</v>
      </c>
      <c r="F19" t="str">
        <f t="shared" si="1"/>
        <v>The Junction Residences</v>
      </c>
      <c r="G19">
        <f t="shared" si="0"/>
        <v>4</v>
      </c>
      <c r="H19">
        <f t="shared" si="0"/>
        <v>2</v>
      </c>
      <c r="I19" s="5">
        <f t="shared" si="2"/>
        <v>0.5</v>
      </c>
    </row>
    <row r="20" spans="1:9" x14ac:dyDescent="0.35">
      <c r="B20" s="3" t="s">
        <v>6</v>
      </c>
      <c r="C20">
        <v>20</v>
      </c>
      <c r="D20" s="6">
        <v>11</v>
      </c>
      <c r="F20" t="str">
        <f t="shared" si="1"/>
        <v>Grand Total</v>
      </c>
      <c r="G20">
        <f t="shared" si="0"/>
        <v>20</v>
      </c>
      <c r="H20">
        <f t="shared" si="0"/>
        <v>11</v>
      </c>
      <c r="I20" s="5">
        <f t="shared" si="2"/>
        <v>0.55000000000000004</v>
      </c>
    </row>
    <row r="24" spans="1:9" x14ac:dyDescent="0.35">
      <c r="A24" s="4" t="s">
        <v>19</v>
      </c>
    </row>
    <row r="27" spans="1:9" x14ac:dyDescent="0.35">
      <c r="B27" s="2" t="s">
        <v>2</v>
      </c>
      <c r="C27" t="s">
        <v>1</v>
      </c>
    </row>
    <row r="28" spans="1:9" x14ac:dyDescent="0.35">
      <c r="B28" s="3" t="s">
        <v>9</v>
      </c>
      <c r="C28" s="1">
        <v>21000</v>
      </c>
    </row>
    <row r="29" spans="1:9" x14ac:dyDescent="0.35">
      <c r="B29" s="3" t="s">
        <v>11</v>
      </c>
      <c r="C29" s="1">
        <v>4000</v>
      </c>
    </row>
    <row r="30" spans="1:9" x14ac:dyDescent="0.35">
      <c r="B30" s="3" t="s">
        <v>13</v>
      </c>
      <c r="C30" s="1">
        <v>3000</v>
      </c>
    </row>
    <row r="31" spans="1:9" x14ac:dyDescent="0.35">
      <c r="B31" s="3" t="s">
        <v>6</v>
      </c>
      <c r="C31" s="1">
        <v>28000</v>
      </c>
    </row>
    <row r="35" spans="1:3" x14ac:dyDescent="0.35">
      <c r="A35" s="4" t="s">
        <v>20</v>
      </c>
    </row>
    <row r="38" spans="1:3" x14ac:dyDescent="0.35">
      <c r="B38" s="2" t="s">
        <v>2</v>
      </c>
      <c r="C38" t="s">
        <v>21</v>
      </c>
    </row>
    <row r="39" spans="1:3" x14ac:dyDescent="0.35">
      <c r="B39" s="3" t="s">
        <v>9</v>
      </c>
      <c r="C39" s="7">
        <v>47000</v>
      </c>
    </row>
    <row r="40" spans="1:3" x14ac:dyDescent="0.35">
      <c r="A40" s="8" t="s">
        <v>22</v>
      </c>
      <c r="B40" s="3" t="s">
        <v>11</v>
      </c>
      <c r="C40" s="7">
        <v>53000</v>
      </c>
    </row>
    <row r="41" spans="1:3" x14ac:dyDescent="0.35">
      <c r="B41" s="3" t="s">
        <v>13</v>
      </c>
      <c r="C41" s="7">
        <v>39000</v>
      </c>
    </row>
    <row r="42" spans="1:3" x14ac:dyDescent="0.35">
      <c r="B42" s="3" t="s">
        <v>6</v>
      </c>
      <c r="C42" s="7">
        <v>48166.666666666664</v>
      </c>
    </row>
    <row r="46" spans="1:3" x14ac:dyDescent="0.35">
      <c r="B46" s="2" t="s">
        <v>2</v>
      </c>
      <c r="C46" t="s">
        <v>21</v>
      </c>
    </row>
    <row r="47" spans="1:3" x14ac:dyDescent="0.35">
      <c r="B47" s="3" t="s">
        <v>3</v>
      </c>
      <c r="C47" s="7">
        <v>39000</v>
      </c>
    </row>
    <row r="48" spans="1:3" x14ac:dyDescent="0.35">
      <c r="A48" s="8" t="s">
        <v>23</v>
      </c>
      <c r="B48" s="3" t="s">
        <v>4</v>
      </c>
      <c r="C48" s="7">
        <v>53000</v>
      </c>
    </row>
    <row r="49" spans="2:3" x14ac:dyDescent="0.35">
      <c r="B49" s="3" t="s">
        <v>5</v>
      </c>
      <c r="C49" s="7">
        <v>47000</v>
      </c>
    </row>
    <row r="50" spans="2:3" x14ac:dyDescent="0.35">
      <c r="B50" s="3" t="s">
        <v>6</v>
      </c>
      <c r="C50" s="7">
        <v>48166.666666666664</v>
      </c>
    </row>
  </sheetData>
  <pageMargins left="0.7" right="0.7" top="0.75" bottom="0.75" header="0.3" footer="0.3"/>
  <pageSetup orientation="portrait" r:id="rId6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80ACA660-2193-4981-9AA2-1A26A21BF92D}">
  <ds:schemaRefs/>
</ds:datastoreItem>
</file>

<file path=customXml/itemProps2.xml><?xml version="1.0" encoding="utf-8"?>
<ds:datastoreItem xmlns:ds="http://schemas.openxmlformats.org/officeDocument/2006/customXml" ds:itemID="{D442DF31-5E86-4037-B33E-F16879A01492}">
  <ds:schemaRefs/>
</ds:datastoreItem>
</file>

<file path=customXml/itemProps3.xml><?xml version="1.0" encoding="utf-8"?>
<ds:datastoreItem xmlns:ds="http://schemas.openxmlformats.org/officeDocument/2006/customXml" ds:itemID="{9B8D858D-6415-412F-9F66-7CE5535277D4}">
  <ds:schemaRefs/>
</ds:datastoreItem>
</file>

<file path=customXml/itemProps4.xml><?xml version="1.0" encoding="utf-8"?>
<ds:datastoreItem xmlns:ds="http://schemas.openxmlformats.org/officeDocument/2006/customXml" ds:itemID="{EAE2BB1B-A732-4F56-ACC4-66D253E03AAD}">
  <ds:schemaRefs/>
</ds:datastoreItem>
</file>

<file path=customXml/itemProps5.xml><?xml version="1.0" encoding="utf-8"?>
<ds:datastoreItem xmlns:ds="http://schemas.openxmlformats.org/officeDocument/2006/customXml" ds:itemID="{92D21770-09BE-4B62-9E8A-52C06DA93FAA}">
  <ds:schemaRefs/>
</ds:datastoreItem>
</file>

<file path=customXml/itemProps6.xml><?xml version="1.0" encoding="utf-8"?>
<ds:datastoreItem xmlns:ds="http://schemas.openxmlformats.org/officeDocument/2006/customXml" ds:itemID="{9650D5E7-9D37-46DA-8918-CF79AD3499D4}">
  <ds:schemaRefs/>
</ds:datastoreItem>
</file>

<file path=customXml/itemProps7.xml><?xml version="1.0" encoding="utf-8"?>
<ds:datastoreItem xmlns:ds="http://schemas.openxmlformats.org/officeDocument/2006/customXml" ds:itemID="{DAA2C1D4-83DE-470E-929D-80EB92B7BCB2}">
  <ds:schemaRefs/>
</ds:datastoreItem>
</file>

<file path=customXml/itemProps8.xml><?xml version="1.0" encoding="utf-8"?>
<ds:datastoreItem xmlns:ds="http://schemas.openxmlformats.org/officeDocument/2006/customXml" ds:itemID="{A4E8AE52-15A3-44BA-81FC-078B6E212179}">
  <ds:schemaRefs/>
</ds:datastoreItem>
</file>

<file path=customXml/itemProps9.xml><?xml version="1.0" encoding="utf-8"?>
<ds:datastoreItem xmlns:ds="http://schemas.openxmlformats.org/officeDocument/2006/customXml" ds:itemID="{69B1767B-0A2C-4DBC-A9D2-86595FCC372E}">
  <ds:schemaRefs/>
</ds:datastoreItem>
</file>

<file path=customXml/itemProps10.xml><?xml version="1.0" encoding="utf-8"?>
<ds:datastoreItem xmlns:ds="http://schemas.openxmlformats.org/officeDocument/2006/customXml" ds:itemID="{09C9B77A-60B2-45AD-9098-9A4BAD21C359}">
  <ds:schemaRefs/>
</ds:datastoreItem>
</file>

<file path=customXml/itemProps11.xml><?xml version="1.0" encoding="utf-8"?>
<ds:datastoreItem xmlns:ds="http://schemas.openxmlformats.org/officeDocument/2006/customXml" ds:itemID="{20D7AC3A-04B9-450F-B916-F5203CCA71BB}">
  <ds:schemaRefs/>
</ds:datastoreItem>
</file>

<file path=customXml/itemProps12.xml><?xml version="1.0" encoding="utf-8"?>
<ds:datastoreItem xmlns:ds="http://schemas.openxmlformats.org/officeDocument/2006/customXml" ds:itemID="{181AC654-A631-47C0-B2FA-4011B32601AB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F2C50224-5FF9-45E3-8001-2B12E27BA61C}">
  <ds:schemaRefs/>
</ds:datastoreItem>
</file>

<file path=customXml/itemProps14.xml><?xml version="1.0" encoding="utf-8"?>
<ds:datastoreItem xmlns:ds="http://schemas.openxmlformats.org/officeDocument/2006/customXml" ds:itemID="{95F756C4-0035-4E52-A940-3A55C55BF393}">
  <ds:schemaRefs/>
</ds:datastoreItem>
</file>

<file path=customXml/itemProps15.xml><?xml version="1.0" encoding="utf-8"?>
<ds:datastoreItem xmlns:ds="http://schemas.openxmlformats.org/officeDocument/2006/customXml" ds:itemID="{37282030-80C3-4D7F-9706-C9989454E55F}">
  <ds:schemaRefs/>
</ds:datastoreItem>
</file>

<file path=customXml/itemProps16.xml><?xml version="1.0" encoding="utf-8"?>
<ds:datastoreItem xmlns:ds="http://schemas.openxmlformats.org/officeDocument/2006/customXml" ds:itemID="{14FC31C4-8E6F-4510-8969-867EAEAC2AD3}">
  <ds:schemaRefs/>
</ds:datastoreItem>
</file>

<file path=customXml/itemProps17.xml><?xml version="1.0" encoding="utf-8"?>
<ds:datastoreItem xmlns:ds="http://schemas.openxmlformats.org/officeDocument/2006/customXml" ds:itemID="{DD551050-AE33-415F-B6B2-0A2D29E1BBF9}">
  <ds:schemaRefs/>
</ds:datastoreItem>
</file>

<file path=customXml/itemProps18.xml><?xml version="1.0" encoding="utf-8"?>
<ds:datastoreItem xmlns:ds="http://schemas.openxmlformats.org/officeDocument/2006/customXml" ds:itemID="{FCBB650D-6435-4496-A380-EACB68C56974}">
  <ds:schemaRefs/>
</ds:datastoreItem>
</file>

<file path=customXml/itemProps19.xml><?xml version="1.0" encoding="utf-8"?>
<ds:datastoreItem xmlns:ds="http://schemas.openxmlformats.org/officeDocument/2006/customXml" ds:itemID="{C638FEF9-AEBD-44F3-B2B9-C7FC66EF0646}">
  <ds:schemaRefs/>
</ds:datastoreItem>
</file>

<file path=customXml/itemProps20.xml><?xml version="1.0" encoding="utf-8"?>
<ds:datastoreItem xmlns:ds="http://schemas.openxmlformats.org/officeDocument/2006/customXml" ds:itemID="{6A00A2A3-05A2-4B4F-AE9C-9301AC1BCDE9}">
  <ds:schemaRefs/>
</ds:datastoreItem>
</file>

<file path=customXml/itemProps21.xml><?xml version="1.0" encoding="utf-8"?>
<ds:datastoreItem xmlns:ds="http://schemas.openxmlformats.org/officeDocument/2006/customXml" ds:itemID="{C92D0608-7C4C-401D-A2E3-5D8390D3F42D}">
  <ds:schemaRefs/>
</ds:datastoreItem>
</file>

<file path=customXml/itemProps22.xml><?xml version="1.0" encoding="utf-8"?>
<ds:datastoreItem xmlns:ds="http://schemas.openxmlformats.org/officeDocument/2006/customXml" ds:itemID="{6DC9E34F-ECC5-4E2A-8B22-8986DC7AA12F}">
  <ds:schemaRefs/>
</ds:datastoreItem>
</file>

<file path=customXml/itemProps23.xml><?xml version="1.0" encoding="utf-8"?>
<ds:datastoreItem xmlns:ds="http://schemas.openxmlformats.org/officeDocument/2006/customXml" ds:itemID="{BE9403EA-9480-4671-A027-FE6E6A80099C}">
  <ds:schemaRefs/>
</ds:datastoreItem>
</file>

<file path=customXml/itemProps24.xml><?xml version="1.0" encoding="utf-8"?>
<ds:datastoreItem xmlns:ds="http://schemas.openxmlformats.org/officeDocument/2006/customXml" ds:itemID="{0DCE1072-9DCE-43EE-8C71-A9A67F8C8FD8}">
  <ds:schemaRefs/>
</ds:datastoreItem>
</file>

<file path=customXml/itemProps25.xml><?xml version="1.0" encoding="utf-8"?>
<ds:datastoreItem xmlns:ds="http://schemas.openxmlformats.org/officeDocument/2006/customXml" ds:itemID="{0B352858-551B-4C6E-9E63-CA3D5C783E04}">
  <ds:schemaRefs/>
</ds:datastoreItem>
</file>

<file path=customXml/itemProps26.xml><?xml version="1.0" encoding="utf-8"?>
<ds:datastoreItem xmlns:ds="http://schemas.openxmlformats.org/officeDocument/2006/customXml" ds:itemID="{0DCAD03A-9AF7-4A9B-A31C-820956BA5D6A}">
  <ds:schemaRefs/>
</ds:datastoreItem>
</file>

<file path=customXml/itemProps27.xml><?xml version="1.0" encoding="utf-8"?>
<ds:datastoreItem xmlns:ds="http://schemas.openxmlformats.org/officeDocument/2006/customXml" ds:itemID="{C59F1F07-132A-4A7D-BF09-FA4897EEC90C}">
  <ds:schemaRefs/>
</ds:datastoreItem>
</file>

<file path=customXml/itemProps28.xml><?xml version="1.0" encoding="utf-8"?>
<ds:datastoreItem xmlns:ds="http://schemas.openxmlformats.org/officeDocument/2006/customXml" ds:itemID="{CB46E90F-2F45-4B1E-A5AF-5531B4B6A2B4}">
  <ds:schemaRefs/>
</ds:datastoreItem>
</file>

<file path=customXml/itemProps29.xml><?xml version="1.0" encoding="utf-8"?>
<ds:datastoreItem xmlns:ds="http://schemas.openxmlformats.org/officeDocument/2006/customXml" ds:itemID="{1C6C1217-398D-43AF-8E58-D6A9232D04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2026-05-06T07:12:34Z</dcterms:created>
  <dcterms:modified xsi:type="dcterms:W3CDTF">2026-05-06T09:50:29Z</dcterms:modified>
</cp:coreProperties>
</file>